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MyPaper\数据\"/>
    </mc:Choice>
  </mc:AlternateContent>
  <xr:revisionPtr revIDLastSave="0" documentId="13_ncr:1_{C264F511-BA5D-4B30-B514-3B826344A529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9" i="1" l="1"/>
  <c r="J20" i="1"/>
  <c r="J10" i="1"/>
</calcChain>
</file>

<file path=xl/sharedStrings.xml><?xml version="1.0" encoding="utf-8"?>
<sst xmlns="http://schemas.openxmlformats.org/spreadsheetml/2006/main" count="137" uniqueCount="24">
  <si>
    <t>数据集</t>
    <phoneticPr fontId="1" type="noConversion"/>
  </si>
  <si>
    <t>train</t>
    <phoneticPr fontId="1" type="noConversion"/>
  </si>
  <si>
    <t>test</t>
    <phoneticPr fontId="1" type="noConversion"/>
  </si>
  <si>
    <t>k</t>
    <phoneticPr fontId="1" type="noConversion"/>
  </si>
  <si>
    <t>learning-rate</t>
    <phoneticPr fontId="1" type="noConversion"/>
  </si>
  <si>
    <t>keep_prob</t>
    <phoneticPr fontId="1" type="noConversion"/>
  </si>
  <si>
    <t>epoch_num</t>
    <phoneticPr fontId="1" type="noConversion"/>
  </si>
  <si>
    <t>batch_size</t>
    <phoneticPr fontId="1" type="noConversion"/>
  </si>
  <si>
    <t>best-acc</t>
    <phoneticPr fontId="1" type="noConversion"/>
  </si>
  <si>
    <t>loss</t>
    <phoneticPr fontId="1" type="noConversion"/>
  </si>
  <si>
    <t>交叉熵</t>
    <phoneticPr fontId="1" type="noConversion"/>
  </si>
  <si>
    <t>谷歌0.2 4.0</t>
    <phoneticPr fontId="1" type="noConversion"/>
  </si>
  <si>
    <t>谷歌1.0 4.0</t>
    <phoneticPr fontId="1" type="noConversion"/>
  </si>
  <si>
    <t>谷歌0.5 1.5</t>
    <phoneticPr fontId="1" type="noConversion"/>
  </si>
  <si>
    <t>total_cut</t>
    <phoneticPr fontId="1" type="noConversion"/>
  </si>
  <si>
    <t>0.9-242</t>
    <phoneticPr fontId="1" type="noConversion"/>
  </si>
  <si>
    <t>谷歌0.7 2.0</t>
    <phoneticPr fontId="1" type="noConversion"/>
  </si>
  <si>
    <t>0.75-144</t>
    <phoneticPr fontId="1" type="noConversion"/>
  </si>
  <si>
    <t>0.6-115</t>
    <phoneticPr fontId="1" type="noConversion"/>
  </si>
  <si>
    <t>谷歌0.5 1.5+reg</t>
    <phoneticPr fontId="1" type="noConversion"/>
  </si>
  <si>
    <t>交叉熵+reg</t>
    <phoneticPr fontId="1" type="noConversion"/>
  </si>
  <si>
    <t>谷歌0.7 1.5</t>
    <phoneticPr fontId="1" type="noConversion"/>
  </si>
  <si>
    <t>谷歌</t>
    <phoneticPr fontId="1" type="noConversion"/>
  </si>
  <si>
    <t>sigmoid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</si>
</sst>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theme="0" tint="-0.3499862666707357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0" fillId="3" borderId="0" xfId="0" applyFill="1"/>
    <xf numFmtId="0" fontId="0" fillId="15" borderId="0" xfId="0" applyFill="1"/>
    <xf numFmtId="0" fontId="0" fillId="12" borderId="0" xfId="0" applyFill="1"/>
    <xf numFmtId="0" fontId="2" fillId="0" borderId="0" xfId="0" applyFont="1" applyAlignment="1">
      <alignment wrapText="1"/>
    </xf>
    <xf numFmtId="0" fontId="2" fillId="16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0" fillId="16" borderId="0" xfId="0" applyFill="1"/>
    <xf numFmtId="0" fontId="2" fillId="16" borderId="0" xfId="0" applyFont="1" applyFill="1" applyAlignment="1">
      <alignment horizontal="center" wrapText="1"/>
    </xf>
    <xf numFmtId="0" fontId="3" fillId="16" borderId="0" xfId="0" applyFont="1" applyFill="1" applyAlignment="1">
      <alignment wrapText="1"/>
    </xf>
    <xf numFmtId="0" fontId="2" fillId="16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2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18" borderId="0" xfId="0" applyFont="1" applyFill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5" fillId="19" borderId="1" xfId="0" applyFont="1" applyFill="1" applyBorder="1"/>
    <xf numFmtId="0" fontId="5" fillId="17" borderId="1" xfId="0" applyFont="1" applyFill="1" applyBorder="1"/>
    <xf numFmtId="0" fontId="4" fillId="20" borderId="1" xfId="0" applyFont="1" applyFill="1" applyBorder="1"/>
    <xf numFmtId="0" fontId="6" fillId="20" borderId="1" xfId="0" applyFont="1" applyFill="1" applyBorder="1"/>
    <xf numFmtId="0" fontId="4" fillId="17" borderId="1" xfId="0" applyFont="1" applyFill="1" applyBorder="1"/>
    <xf numFmtId="0" fontId="2" fillId="21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</xdr:colOff>
      <xdr:row>11</xdr:row>
      <xdr:rowOff>68580</xdr:rowOff>
    </xdr:from>
    <xdr:to>
      <xdr:col>8</xdr:col>
      <xdr:colOff>88900</xdr:colOff>
      <xdr:row>23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0EE26F-0971-4AE8-A991-440DAECA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2980" y="2026920"/>
          <a:ext cx="2915920" cy="2186940"/>
        </a:xfrm>
        <a:prstGeom prst="rect">
          <a:avLst/>
        </a:prstGeom>
      </xdr:spPr>
    </xdr:pic>
    <xdr:clientData/>
  </xdr:twoCellAnchor>
  <xdr:twoCellAnchor editAs="oneCell">
    <xdr:from>
      <xdr:col>1</xdr:col>
      <xdr:colOff>236220</xdr:colOff>
      <xdr:row>11</xdr:row>
      <xdr:rowOff>68581</xdr:rowOff>
    </xdr:from>
    <xdr:to>
      <xdr:col>4</xdr:col>
      <xdr:colOff>365760</xdr:colOff>
      <xdr:row>24</xdr:row>
      <xdr:rowOff>30481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A674EDE-7173-4908-B152-1D4C3F1EE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" y="2026921"/>
          <a:ext cx="2987040" cy="2240280"/>
        </a:xfrm>
        <a:prstGeom prst="rect">
          <a:avLst/>
        </a:prstGeom>
      </xdr:spPr>
    </xdr:pic>
    <xdr:clientData/>
  </xdr:twoCellAnchor>
  <xdr:twoCellAnchor editAs="oneCell">
    <xdr:from>
      <xdr:col>8</xdr:col>
      <xdr:colOff>541020</xdr:colOff>
      <xdr:row>11</xdr:row>
      <xdr:rowOff>121921</xdr:rowOff>
    </xdr:from>
    <xdr:to>
      <xdr:col>11</xdr:col>
      <xdr:colOff>312420</xdr:colOff>
      <xdr:row>23</xdr:row>
      <xdr:rowOff>30481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9E3CCC1-F24D-4A49-A5AB-4DCB59612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1020" y="2278381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11</xdr:row>
      <xdr:rowOff>150494</xdr:rowOff>
    </xdr:from>
    <xdr:to>
      <xdr:col>16</xdr:col>
      <xdr:colOff>205740</xdr:colOff>
      <xdr:row>22</xdr:row>
      <xdr:rowOff>114299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7443BAA-08BA-48D0-874B-9A05EF8B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62360" y="2306954"/>
          <a:ext cx="2522220" cy="1891665"/>
        </a:xfrm>
        <a:prstGeom prst="rect">
          <a:avLst/>
        </a:prstGeom>
      </xdr:spPr>
    </xdr:pic>
    <xdr:clientData/>
  </xdr:twoCellAnchor>
  <xdr:twoCellAnchor editAs="oneCell">
    <xdr:from>
      <xdr:col>1</xdr:col>
      <xdr:colOff>215900</xdr:colOff>
      <xdr:row>25</xdr:row>
      <xdr:rowOff>45720</xdr:rowOff>
    </xdr:from>
    <xdr:to>
      <xdr:col>4</xdr:col>
      <xdr:colOff>487680</xdr:colOff>
      <xdr:row>38</xdr:row>
      <xdr:rowOff>114300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CB84519-3E95-41AF-BBAD-7F54AC3B0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8400" y="4655820"/>
          <a:ext cx="3129280" cy="2346960"/>
        </a:xfrm>
        <a:prstGeom prst="rect">
          <a:avLst/>
        </a:prstGeom>
      </xdr:spPr>
    </xdr:pic>
    <xdr:clientData/>
  </xdr:twoCellAnchor>
  <xdr:twoCellAnchor editAs="oneCell">
    <xdr:from>
      <xdr:col>5</xdr:col>
      <xdr:colOff>22858</xdr:colOff>
      <xdr:row>25</xdr:row>
      <xdr:rowOff>77089</xdr:rowOff>
    </xdr:from>
    <xdr:to>
      <xdr:col>8</xdr:col>
      <xdr:colOff>167639</xdr:colOff>
      <xdr:row>38</xdr:row>
      <xdr:rowOff>35533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B11487B-17B8-4B3D-8100-B3FF57D36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85358" y="4710049"/>
          <a:ext cx="3002281" cy="2236824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27</xdr:row>
      <xdr:rowOff>24764</xdr:rowOff>
    </xdr:from>
    <xdr:to>
      <xdr:col>16</xdr:col>
      <xdr:colOff>289560</xdr:colOff>
      <xdr:row>37</xdr:row>
      <xdr:rowOff>38099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146A415-B593-4F15-ABF2-5D24C78BA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13820" y="4985384"/>
          <a:ext cx="2354580" cy="1765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M9" sqref="M9"/>
    </sheetView>
  </sheetViews>
  <sheetFormatPr defaultRowHeight="15.6" x14ac:dyDescent="0.3"/>
  <cols>
    <col min="1" max="1" width="13.6640625" style="1" customWidth="1"/>
    <col min="2" max="4" width="8.88671875" style="1"/>
    <col min="5" max="5" width="14" style="1" customWidth="1"/>
    <col min="6" max="6" width="12.5546875" style="1" customWidth="1"/>
    <col min="7" max="7" width="13.44140625" style="1" customWidth="1"/>
    <col min="8" max="8" width="15.5546875" style="1" customWidth="1"/>
    <col min="9" max="9" width="15.88671875" customWidth="1"/>
    <col min="10" max="10" width="41.5546875" style="1" customWidth="1"/>
    <col min="11" max="11" width="15.109375" style="5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3" spans="1:11" x14ac:dyDescent="0.3">
      <c r="A3" s="6" t="s">
        <v>14</v>
      </c>
      <c r="B3" s="7">
        <v>600</v>
      </c>
      <c r="C3" s="8">
        <v>250</v>
      </c>
      <c r="D3" s="9" t="s">
        <v>15</v>
      </c>
      <c r="E3" s="11">
        <v>1E-4</v>
      </c>
      <c r="F3" s="13">
        <v>1</v>
      </c>
      <c r="G3" s="15">
        <v>100</v>
      </c>
      <c r="H3" s="18">
        <v>1</v>
      </c>
      <c r="I3" s="19" t="s">
        <v>10</v>
      </c>
      <c r="J3" s="1">
        <v>0.84799998998641901</v>
      </c>
    </row>
    <row r="4" spans="1:11" x14ac:dyDescent="0.3">
      <c r="A4" s="6" t="s">
        <v>14</v>
      </c>
      <c r="B4" s="7">
        <v>600</v>
      </c>
      <c r="C4" s="8">
        <v>250</v>
      </c>
      <c r="D4" s="10">
        <v>131</v>
      </c>
      <c r="E4" s="11">
        <v>1E-4</v>
      </c>
      <c r="F4" s="13">
        <v>1</v>
      </c>
      <c r="G4" s="15">
        <v>100</v>
      </c>
      <c r="H4" s="18">
        <v>1</v>
      </c>
      <c r="I4" s="19" t="s">
        <v>10</v>
      </c>
      <c r="J4" s="1">
        <v>0.85199999809265103</v>
      </c>
    </row>
    <row r="5" spans="1:11" s="23" customFormat="1" x14ac:dyDescent="0.3">
      <c r="A5" s="23" t="s">
        <v>14</v>
      </c>
      <c r="B5" s="23">
        <v>600</v>
      </c>
      <c r="C5" s="23">
        <v>250</v>
      </c>
      <c r="D5" s="23">
        <v>131</v>
      </c>
      <c r="E5" s="23">
        <v>1E-4</v>
      </c>
      <c r="F5" s="23">
        <v>0.95</v>
      </c>
      <c r="G5" s="23">
        <v>100</v>
      </c>
      <c r="H5" s="23">
        <v>1</v>
      </c>
      <c r="I5" s="25" t="s">
        <v>10</v>
      </c>
      <c r="J5" s="23">
        <v>0.88800001144409102</v>
      </c>
      <c r="K5" s="26"/>
    </row>
    <row r="6" spans="1:11" s="3" customFormat="1" x14ac:dyDescent="0.3">
      <c r="A6" s="3" t="s">
        <v>14</v>
      </c>
      <c r="B6" s="3">
        <v>600</v>
      </c>
      <c r="C6" s="3">
        <v>250</v>
      </c>
      <c r="D6" s="3">
        <v>131</v>
      </c>
      <c r="E6" s="3">
        <v>1E-4</v>
      </c>
      <c r="F6" s="3">
        <v>0.9</v>
      </c>
      <c r="G6" s="3">
        <v>100</v>
      </c>
      <c r="H6" s="3">
        <v>1</v>
      </c>
      <c r="I6" s="4" t="s">
        <v>10</v>
      </c>
      <c r="J6" s="3">
        <v>0.84799998998641901</v>
      </c>
      <c r="K6" s="29"/>
    </row>
    <row r="7" spans="1:11" x14ac:dyDescent="0.3">
      <c r="A7" s="6" t="s">
        <v>14</v>
      </c>
      <c r="B7" s="7">
        <v>600</v>
      </c>
      <c r="C7" s="8">
        <v>250</v>
      </c>
      <c r="D7" s="10">
        <v>131</v>
      </c>
      <c r="E7" s="11">
        <v>1E-4</v>
      </c>
      <c r="F7" s="13">
        <v>1</v>
      </c>
      <c r="G7" s="15">
        <v>100</v>
      </c>
      <c r="H7" s="18">
        <v>1</v>
      </c>
      <c r="I7" s="19" t="s">
        <v>10</v>
      </c>
      <c r="J7" s="1">
        <v>0.82800000905990601</v>
      </c>
    </row>
    <row r="8" spans="1:11" x14ac:dyDescent="0.3">
      <c r="A8" s="6" t="s">
        <v>14</v>
      </c>
      <c r="B8" s="7">
        <v>600</v>
      </c>
      <c r="C8" s="8">
        <v>250</v>
      </c>
      <c r="D8" s="9" t="s">
        <v>15</v>
      </c>
      <c r="E8" s="11">
        <v>1E-4</v>
      </c>
      <c r="F8" s="13">
        <v>1</v>
      </c>
      <c r="G8" s="15">
        <v>100</v>
      </c>
      <c r="H8" s="18">
        <v>1</v>
      </c>
      <c r="I8" s="19" t="s">
        <v>10</v>
      </c>
      <c r="J8" s="1">
        <v>0.83200001716613703</v>
      </c>
    </row>
    <row r="9" spans="1:11" x14ac:dyDescent="0.3">
      <c r="A9" s="6" t="s">
        <v>14</v>
      </c>
      <c r="B9" s="7">
        <v>600</v>
      </c>
      <c r="C9" s="8">
        <v>250</v>
      </c>
      <c r="D9" s="10">
        <v>131</v>
      </c>
      <c r="E9" s="11">
        <v>1E-4</v>
      </c>
      <c r="F9" s="13">
        <v>1</v>
      </c>
      <c r="G9" s="15">
        <v>100</v>
      </c>
      <c r="H9" s="18">
        <v>1</v>
      </c>
      <c r="I9" s="19" t="s">
        <v>20</v>
      </c>
      <c r="J9" s="1">
        <v>0.84399998188018799</v>
      </c>
    </row>
    <row r="10" spans="1:11" x14ac:dyDescent="0.3">
      <c r="J10" s="34">
        <f>AVERAGE(J3:J9)</f>
        <v>0.84857142823083009</v>
      </c>
    </row>
    <row r="11" spans="1:11" x14ac:dyDescent="0.3">
      <c r="A11" s="6" t="s">
        <v>14</v>
      </c>
      <c r="B11" s="7">
        <v>600</v>
      </c>
      <c r="C11" s="8">
        <v>250</v>
      </c>
      <c r="D11" s="9" t="s">
        <v>15</v>
      </c>
      <c r="E11" s="11">
        <v>1E-4</v>
      </c>
      <c r="F11" s="13">
        <v>1</v>
      </c>
      <c r="G11" s="15">
        <v>100</v>
      </c>
      <c r="H11" s="18">
        <v>1</v>
      </c>
      <c r="I11" s="20" t="s">
        <v>11</v>
      </c>
      <c r="J11" s="1">
        <v>0.81999999284744196</v>
      </c>
    </row>
    <row r="12" spans="1:11" x14ac:dyDescent="0.3">
      <c r="A12" s="6" t="s">
        <v>14</v>
      </c>
      <c r="B12" s="7">
        <v>600</v>
      </c>
      <c r="C12" s="8">
        <v>250</v>
      </c>
      <c r="D12" s="9" t="s">
        <v>15</v>
      </c>
      <c r="E12" s="11">
        <v>1E-4</v>
      </c>
      <c r="F12" s="13">
        <v>1</v>
      </c>
      <c r="G12" s="15">
        <v>100</v>
      </c>
      <c r="H12" s="18">
        <v>1</v>
      </c>
      <c r="I12" s="20" t="s">
        <v>12</v>
      </c>
      <c r="J12" s="1">
        <v>0.83999997377395597</v>
      </c>
    </row>
    <row r="13" spans="1:11" x14ac:dyDescent="0.3">
      <c r="A13" s="6" t="s">
        <v>14</v>
      </c>
      <c r="B13" s="7">
        <v>600</v>
      </c>
      <c r="C13" s="8">
        <v>250</v>
      </c>
      <c r="D13" s="10">
        <v>131</v>
      </c>
      <c r="E13" s="11">
        <v>1E-4</v>
      </c>
      <c r="F13" s="13">
        <v>1</v>
      </c>
      <c r="G13" s="15">
        <v>100</v>
      </c>
      <c r="H13" s="18">
        <v>1</v>
      </c>
      <c r="I13" s="20" t="s">
        <v>12</v>
      </c>
      <c r="J13" s="1">
        <v>0.81999999284744196</v>
      </c>
    </row>
    <row r="14" spans="1:11" s="23" customFormat="1" x14ac:dyDescent="0.3">
      <c r="A14" s="23" t="s">
        <v>14</v>
      </c>
      <c r="B14" s="23">
        <v>600</v>
      </c>
      <c r="C14" s="23">
        <v>250</v>
      </c>
      <c r="D14" s="23">
        <v>131</v>
      </c>
      <c r="E14" s="23">
        <v>1E-4</v>
      </c>
      <c r="F14" s="23">
        <v>1</v>
      </c>
      <c r="G14" s="24">
        <v>100</v>
      </c>
      <c r="H14" s="23">
        <v>1</v>
      </c>
      <c r="I14" s="25" t="s">
        <v>16</v>
      </c>
      <c r="J14" s="23">
        <v>0.87599998712539595</v>
      </c>
      <c r="K14" s="26"/>
    </row>
    <row r="15" spans="1:11" s="3" customFormat="1" x14ac:dyDescent="0.3">
      <c r="A15" s="30" t="s">
        <v>14</v>
      </c>
      <c r="B15" s="30">
        <v>600</v>
      </c>
      <c r="C15" s="30">
        <v>250</v>
      </c>
      <c r="D15" s="30">
        <v>131</v>
      </c>
      <c r="E15" s="30">
        <v>1E-4</v>
      </c>
      <c r="F15" s="30">
        <v>0.95</v>
      </c>
      <c r="G15" s="30">
        <v>100</v>
      </c>
      <c r="H15" s="30">
        <v>1</v>
      </c>
      <c r="I15" s="30" t="s">
        <v>16</v>
      </c>
      <c r="J15" s="30">
        <v>0.82400000095367398</v>
      </c>
      <c r="K15" s="29"/>
    </row>
    <row r="16" spans="1:11" x14ac:dyDescent="0.3">
      <c r="A16" s="6" t="s">
        <v>14</v>
      </c>
      <c r="B16" s="7">
        <v>600</v>
      </c>
      <c r="C16" s="8">
        <v>250</v>
      </c>
      <c r="D16" s="10">
        <v>131</v>
      </c>
      <c r="E16" s="11">
        <v>1E-4</v>
      </c>
      <c r="F16" s="13">
        <v>1</v>
      </c>
      <c r="G16" s="16">
        <v>100</v>
      </c>
      <c r="H16" s="18">
        <v>1</v>
      </c>
      <c r="I16" s="20" t="s">
        <v>16</v>
      </c>
      <c r="J16" s="2">
        <v>0.86000001430511397</v>
      </c>
    </row>
    <row r="17" spans="1:11" x14ac:dyDescent="0.3">
      <c r="A17" s="6" t="s">
        <v>14</v>
      </c>
      <c r="B17" s="7">
        <v>600</v>
      </c>
      <c r="C17" s="8">
        <v>250</v>
      </c>
      <c r="D17" s="9" t="s">
        <v>15</v>
      </c>
      <c r="E17" s="11">
        <v>1E-4</v>
      </c>
      <c r="F17" s="13">
        <v>1</v>
      </c>
      <c r="G17" s="15">
        <v>100</v>
      </c>
      <c r="H17" s="18">
        <v>1</v>
      </c>
      <c r="I17" s="20" t="s">
        <v>16</v>
      </c>
      <c r="J17" s="1">
        <v>0.83999997377395597</v>
      </c>
    </row>
    <row r="18" spans="1:11" x14ac:dyDescent="0.3">
      <c r="A18" s="6" t="s">
        <v>14</v>
      </c>
      <c r="B18" s="7">
        <v>600</v>
      </c>
      <c r="C18" s="8">
        <v>250</v>
      </c>
      <c r="D18" s="9" t="s">
        <v>17</v>
      </c>
      <c r="E18" s="11">
        <v>1E-4</v>
      </c>
      <c r="F18" s="13">
        <v>1</v>
      </c>
      <c r="G18" s="15">
        <v>100</v>
      </c>
      <c r="H18" s="18">
        <v>1</v>
      </c>
      <c r="I18" s="20" t="s">
        <v>16</v>
      </c>
      <c r="J18" s="1">
        <v>0.85199999809265103</v>
      </c>
    </row>
    <row r="19" spans="1:11" customFormat="1" x14ac:dyDescent="0.3">
      <c r="A19" s="30" t="s">
        <v>14</v>
      </c>
      <c r="B19" s="30">
        <v>600</v>
      </c>
      <c r="C19" s="30">
        <v>250</v>
      </c>
      <c r="D19" s="30">
        <v>131</v>
      </c>
      <c r="E19" s="30">
        <v>1E-4</v>
      </c>
      <c r="F19" s="30">
        <v>0.95</v>
      </c>
      <c r="G19" s="30">
        <v>100</v>
      </c>
      <c r="H19" s="30">
        <v>1</v>
      </c>
      <c r="I19" s="30" t="s">
        <v>21</v>
      </c>
      <c r="J19" s="30">
        <v>0.84799998998641901</v>
      </c>
    </row>
    <row r="20" spans="1:11" x14ac:dyDescent="0.3">
      <c r="J20" s="34">
        <f>AVERAGE(J11:J19)</f>
        <v>0.84222221374511674</v>
      </c>
    </row>
    <row r="21" spans="1:11" x14ac:dyDescent="0.3">
      <c r="A21" s="6" t="s">
        <v>14</v>
      </c>
      <c r="B21" s="7">
        <v>600</v>
      </c>
      <c r="C21" s="8">
        <v>250</v>
      </c>
      <c r="D21" s="9" t="s">
        <v>17</v>
      </c>
      <c r="E21" s="11">
        <v>1E-4</v>
      </c>
      <c r="F21" s="13">
        <v>1</v>
      </c>
      <c r="G21" s="15">
        <v>100</v>
      </c>
      <c r="H21" s="18">
        <v>1</v>
      </c>
      <c r="I21" s="21" t="s">
        <v>13</v>
      </c>
      <c r="J21" s="2">
        <v>0.86400002241134599</v>
      </c>
    </row>
    <row r="22" spans="1:11" x14ac:dyDescent="0.3">
      <c r="A22" s="6" t="s">
        <v>14</v>
      </c>
      <c r="B22" s="7">
        <v>600</v>
      </c>
      <c r="C22" s="8">
        <v>250</v>
      </c>
      <c r="D22" s="9" t="s">
        <v>15</v>
      </c>
      <c r="E22" s="11">
        <v>1E-4</v>
      </c>
      <c r="F22" s="13">
        <v>1</v>
      </c>
      <c r="G22" s="15">
        <v>100</v>
      </c>
      <c r="H22" s="18">
        <v>1</v>
      </c>
      <c r="I22" s="21" t="s">
        <v>13</v>
      </c>
      <c r="J22" s="2">
        <v>0.86000001430511397</v>
      </c>
    </row>
    <row r="23" spans="1:11" x14ac:dyDescent="0.3">
      <c r="A23" s="6" t="s">
        <v>14</v>
      </c>
      <c r="B23" s="7">
        <v>600</v>
      </c>
      <c r="C23" s="8">
        <v>250</v>
      </c>
      <c r="D23" s="9" t="s">
        <v>18</v>
      </c>
      <c r="E23" s="11">
        <v>1E-4</v>
      </c>
      <c r="F23" s="13">
        <v>1</v>
      </c>
      <c r="G23" s="15">
        <v>100</v>
      </c>
      <c r="H23" s="18">
        <v>1</v>
      </c>
      <c r="I23" s="21" t="s">
        <v>13</v>
      </c>
      <c r="J23" s="1">
        <v>0.84399998188018799</v>
      </c>
    </row>
    <row r="24" spans="1:11" s="23" customFormat="1" x14ac:dyDescent="0.3">
      <c r="A24" s="23" t="s">
        <v>14</v>
      </c>
      <c r="B24" s="23">
        <v>600</v>
      </c>
      <c r="C24" s="23">
        <v>250</v>
      </c>
      <c r="D24" s="23">
        <v>131</v>
      </c>
      <c r="E24" s="23">
        <v>1E-4</v>
      </c>
      <c r="F24" s="23">
        <v>1</v>
      </c>
      <c r="G24" s="24">
        <v>100</v>
      </c>
      <c r="H24" s="23">
        <v>1</v>
      </c>
      <c r="I24" s="25" t="s">
        <v>13</v>
      </c>
      <c r="J24" s="23">
        <v>0.87599998712539595</v>
      </c>
      <c r="K24" s="27"/>
    </row>
    <row r="25" spans="1:11" x14ac:dyDescent="0.3">
      <c r="A25" s="6" t="s">
        <v>14</v>
      </c>
      <c r="B25" s="7">
        <v>600</v>
      </c>
      <c r="C25" s="8">
        <v>250</v>
      </c>
      <c r="D25" s="10">
        <v>131</v>
      </c>
      <c r="E25" s="11">
        <v>1E-4</v>
      </c>
      <c r="F25" s="13">
        <v>1</v>
      </c>
      <c r="G25" s="16">
        <v>100</v>
      </c>
      <c r="H25" s="18">
        <v>1</v>
      </c>
      <c r="I25" s="19" t="s">
        <v>13</v>
      </c>
      <c r="J25" s="2">
        <v>0.86000001430511397</v>
      </c>
    </row>
    <row r="26" spans="1:11" x14ac:dyDescent="0.3">
      <c r="A26" s="6" t="s">
        <v>14</v>
      </c>
      <c r="B26" s="7">
        <v>600</v>
      </c>
      <c r="C26" s="8">
        <v>250</v>
      </c>
      <c r="D26" s="10">
        <v>131</v>
      </c>
      <c r="E26" s="11">
        <v>1E-4</v>
      </c>
      <c r="F26" s="14">
        <v>0.95</v>
      </c>
      <c r="G26" s="16">
        <v>100</v>
      </c>
      <c r="H26" s="18">
        <v>1</v>
      </c>
      <c r="I26" s="19" t="s">
        <v>13</v>
      </c>
      <c r="J26" s="2">
        <v>0.86799997091293302</v>
      </c>
      <c r="K26" s="22"/>
    </row>
    <row r="27" spans="1:11" s="23" customFormat="1" x14ac:dyDescent="0.3">
      <c r="A27" s="23" t="s">
        <v>14</v>
      </c>
      <c r="B27" s="23">
        <v>600</v>
      </c>
      <c r="C27" s="23">
        <v>250</v>
      </c>
      <c r="D27" s="23">
        <v>131</v>
      </c>
      <c r="E27" s="23">
        <v>1E-4</v>
      </c>
      <c r="F27" s="23">
        <v>0.95</v>
      </c>
      <c r="G27" s="24">
        <v>100</v>
      </c>
      <c r="H27" s="23">
        <v>1</v>
      </c>
      <c r="I27" s="25" t="s">
        <v>13</v>
      </c>
      <c r="J27" s="23">
        <v>0.87599998712539595</v>
      </c>
      <c r="K27" s="28"/>
    </row>
    <row r="28" spans="1:11" x14ac:dyDescent="0.3">
      <c r="A28" s="6" t="s">
        <v>14</v>
      </c>
      <c r="B28" s="7">
        <v>600</v>
      </c>
      <c r="C28" s="8">
        <v>250</v>
      </c>
      <c r="D28" s="10">
        <v>131</v>
      </c>
      <c r="E28" s="11">
        <v>1E-4</v>
      </c>
      <c r="F28" s="14">
        <v>0.9</v>
      </c>
      <c r="G28" s="16">
        <v>100</v>
      </c>
      <c r="H28" s="18">
        <v>1</v>
      </c>
      <c r="I28" s="19" t="s">
        <v>13</v>
      </c>
      <c r="J28" s="2">
        <v>0.85600000619888295</v>
      </c>
      <c r="K28" s="22"/>
    </row>
    <row r="29" spans="1:11" x14ac:dyDescent="0.3">
      <c r="J29" s="34">
        <f>AVERAGE(J21:J28)</f>
        <v>0.86299999803304628</v>
      </c>
    </row>
    <row r="33" spans="1:10" x14ac:dyDescent="0.3">
      <c r="J33" s="3"/>
    </row>
    <row r="35" spans="1:10" x14ac:dyDescent="0.3">
      <c r="A35" s="6" t="s">
        <v>14</v>
      </c>
      <c r="B35" s="7">
        <v>600</v>
      </c>
      <c r="C35" s="8">
        <v>250</v>
      </c>
      <c r="D35" s="10">
        <v>131</v>
      </c>
      <c r="E35" s="12">
        <v>1.0000000000000001E-5</v>
      </c>
      <c r="F35" s="13">
        <v>1</v>
      </c>
      <c r="G35" s="16">
        <v>100</v>
      </c>
      <c r="H35" s="18">
        <v>1</v>
      </c>
      <c r="I35" s="19" t="s">
        <v>13</v>
      </c>
      <c r="J35" s="1">
        <v>0.83600002527236905</v>
      </c>
    </row>
    <row r="36" spans="1:10" x14ac:dyDescent="0.3">
      <c r="A36" s="6" t="s">
        <v>14</v>
      </c>
      <c r="B36" s="7">
        <v>600</v>
      </c>
      <c r="C36" s="8">
        <v>250</v>
      </c>
      <c r="D36" s="10">
        <v>131</v>
      </c>
      <c r="E36" s="11">
        <v>1E-4</v>
      </c>
      <c r="F36" s="13">
        <v>1</v>
      </c>
      <c r="G36" s="17">
        <v>200</v>
      </c>
      <c r="H36" s="18">
        <v>1</v>
      </c>
      <c r="I36" s="19" t="s">
        <v>13</v>
      </c>
      <c r="J36" s="1">
        <v>0.84799998998641901</v>
      </c>
    </row>
    <row r="37" spans="1:10" x14ac:dyDescent="0.3">
      <c r="A37" s="6" t="s">
        <v>14</v>
      </c>
      <c r="B37" s="7">
        <v>600</v>
      </c>
      <c r="C37" s="8">
        <v>250</v>
      </c>
      <c r="D37" s="10">
        <v>131</v>
      </c>
      <c r="E37" s="12">
        <v>1.0000000000000001E-5</v>
      </c>
      <c r="F37" s="13">
        <v>1</v>
      </c>
      <c r="G37" s="17">
        <v>200</v>
      </c>
      <c r="H37" s="18">
        <v>1</v>
      </c>
      <c r="I37" s="19" t="s">
        <v>13</v>
      </c>
      <c r="J37" s="2">
        <v>0.85600000619888295</v>
      </c>
    </row>
    <row r="38" spans="1:10" x14ac:dyDescent="0.3">
      <c r="A38" s="6" t="s">
        <v>14</v>
      </c>
      <c r="B38" s="7">
        <v>600</v>
      </c>
      <c r="C38" s="8">
        <v>250</v>
      </c>
      <c r="D38" s="10">
        <v>131</v>
      </c>
      <c r="E38" s="11">
        <v>1E-4</v>
      </c>
      <c r="F38" s="13">
        <v>1</v>
      </c>
      <c r="G38" s="16">
        <v>100</v>
      </c>
      <c r="H38" s="18">
        <v>1</v>
      </c>
      <c r="I38" s="19" t="s">
        <v>19</v>
      </c>
      <c r="J38" s="1">
        <v>0.84399998188018799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162B-D73F-455B-87D1-18DEE982425F}">
  <dimension ref="A1:O25"/>
  <sheetViews>
    <sheetView workbookViewId="0">
      <selection activeCell="K7" sqref="K7"/>
    </sheetView>
  </sheetViews>
  <sheetFormatPr defaultRowHeight="13.8" x14ac:dyDescent="0.25"/>
  <cols>
    <col min="1" max="10" width="13.88671875" customWidth="1"/>
    <col min="11" max="11" width="14.6640625" bestFit="1" customWidth="1"/>
  </cols>
  <sheetData>
    <row r="1" spans="1:13" s="1" customFormat="1" ht="15.6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9</v>
      </c>
      <c r="J1" s="31" t="s">
        <v>8</v>
      </c>
      <c r="K1" s="5"/>
    </row>
    <row r="2" spans="1:13" s="3" customFormat="1" ht="15.6" x14ac:dyDescent="0.3">
      <c r="A2" s="30" t="s">
        <v>14</v>
      </c>
      <c r="B2" s="30">
        <v>600</v>
      </c>
      <c r="C2" s="30">
        <v>250</v>
      </c>
      <c r="D2" s="30">
        <v>131</v>
      </c>
      <c r="E2" s="30">
        <v>1E-4</v>
      </c>
      <c r="F2" s="30">
        <v>0.95</v>
      </c>
      <c r="G2" s="30">
        <v>100</v>
      </c>
      <c r="H2" s="30">
        <v>1</v>
      </c>
      <c r="I2" s="30" t="s">
        <v>10</v>
      </c>
      <c r="J2" s="30">
        <v>0.88800001144409102</v>
      </c>
      <c r="K2" s="29">
        <v>0.85600000619888295</v>
      </c>
      <c r="M2" s="3">
        <v>876</v>
      </c>
    </row>
    <row r="3" spans="1:13" s="3" customFormat="1" ht="15.6" x14ac:dyDescent="0.3">
      <c r="A3" s="30" t="s">
        <v>14</v>
      </c>
      <c r="B3" s="30">
        <v>600</v>
      </c>
      <c r="C3" s="30">
        <v>250</v>
      </c>
      <c r="D3" s="30">
        <v>131</v>
      </c>
      <c r="E3" s="30">
        <v>1E-4</v>
      </c>
      <c r="F3" s="30">
        <v>1</v>
      </c>
      <c r="G3" s="30">
        <v>100</v>
      </c>
      <c r="H3" s="30">
        <v>10</v>
      </c>
      <c r="I3" s="30" t="s">
        <v>10</v>
      </c>
      <c r="J3" s="30">
        <v>0.87599998712539595</v>
      </c>
      <c r="K3" s="39">
        <v>0.86400002241134599</v>
      </c>
      <c r="M3" s="3">
        <v>843</v>
      </c>
    </row>
    <row r="4" spans="1:13" s="3" customFormat="1" ht="15.6" x14ac:dyDescent="0.3">
      <c r="A4" s="30" t="s">
        <v>14</v>
      </c>
      <c r="B4" s="30">
        <v>600</v>
      </c>
      <c r="C4" s="30">
        <v>250</v>
      </c>
      <c r="D4" s="30">
        <v>131</v>
      </c>
      <c r="E4" s="30">
        <v>1E-4</v>
      </c>
      <c r="F4" s="30">
        <v>1</v>
      </c>
      <c r="G4" s="30">
        <v>100</v>
      </c>
      <c r="H4" s="30">
        <v>32</v>
      </c>
      <c r="I4" s="30" t="s">
        <v>10</v>
      </c>
      <c r="J4" s="30">
        <v>0.81199997663497903</v>
      </c>
      <c r="K4" s="29"/>
    </row>
    <row r="5" spans="1:13" ht="15.6" x14ac:dyDescent="0.3">
      <c r="A5" s="30" t="s">
        <v>14</v>
      </c>
      <c r="B5" s="30">
        <v>600</v>
      </c>
      <c r="C5" s="30">
        <v>250</v>
      </c>
      <c r="D5" s="30">
        <v>131</v>
      </c>
      <c r="E5" s="30">
        <v>1E-4</v>
      </c>
      <c r="F5" s="30">
        <v>1</v>
      </c>
      <c r="G5" s="30">
        <v>100</v>
      </c>
      <c r="H5" s="30">
        <v>100</v>
      </c>
      <c r="I5" s="30" t="s">
        <v>10</v>
      </c>
      <c r="J5" s="30">
        <v>0.76800000667571999</v>
      </c>
    </row>
    <row r="6" spans="1:13" ht="15.6" x14ac:dyDescent="0.3">
      <c r="A6" s="30" t="s">
        <v>14</v>
      </c>
      <c r="B6" s="30">
        <v>600</v>
      </c>
      <c r="C6" s="30">
        <v>250</v>
      </c>
      <c r="D6" s="30">
        <v>131</v>
      </c>
      <c r="E6" s="30">
        <v>1E-4</v>
      </c>
      <c r="F6" s="30">
        <v>1</v>
      </c>
      <c r="G6" s="30">
        <v>100</v>
      </c>
      <c r="H6" s="30">
        <v>1</v>
      </c>
      <c r="I6" s="30" t="s">
        <v>16</v>
      </c>
      <c r="J6" s="30">
        <v>0.87599998712539595</v>
      </c>
    </row>
    <row r="7" spans="1:13" s="3" customFormat="1" ht="15.6" x14ac:dyDescent="0.3">
      <c r="A7" s="30" t="s">
        <v>14</v>
      </c>
      <c r="B7" s="30">
        <v>600</v>
      </c>
      <c r="C7" s="30">
        <v>250</v>
      </c>
      <c r="D7" s="30">
        <v>131</v>
      </c>
      <c r="E7" s="30">
        <v>1E-4</v>
      </c>
      <c r="F7" s="30">
        <v>1</v>
      </c>
      <c r="G7" s="30">
        <v>100</v>
      </c>
      <c r="H7" s="30">
        <v>1</v>
      </c>
      <c r="I7" s="30" t="s">
        <v>13</v>
      </c>
      <c r="J7" s="30">
        <v>0.87599998712539595</v>
      </c>
      <c r="K7" s="32">
        <v>0.86400002241134599</v>
      </c>
    </row>
    <row r="8" spans="1:13" s="3" customFormat="1" ht="15.6" x14ac:dyDescent="0.3">
      <c r="A8" s="30" t="s">
        <v>14</v>
      </c>
      <c r="B8" s="30">
        <v>600</v>
      </c>
      <c r="C8" s="30">
        <v>250</v>
      </c>
      <c r="D8" s="30">
        <v>131</v>
      </c>
      <c r="E8" s="30">
        <v>1E-4</v>
      </c>
      <c r="F8" s="30">
        <v>0.95</v>
      </c>
      <c r="G8" s="30">
        <v>100</v>
      </c>
      <c r="H8" s="30">
        <v>1</v>
      </c>
      <c r="I8" s="30" t="s">
        <v>13</v>
      </c>
      <c r="J8" s="30">
        <v>0.87599998712539595</v>
      </c>
      <c r="K8" s="33">
        <v>0.85600000619888295</v>
      </c>
    </row>
    <row r="9" spans="1:13" ht="15.6" x14ac:dyDescent="0.3">
      <c r="A9" s="30" t="s">
        <v>14</v>
      </c>
      <c r="B9" s="30">
        <v>600</v>
      </c>
      <c r="C9" s="30">
        <v>250</v>
      </c>
      <c r="D9" s="30">
        <v>131</v>
      </c>
      <c r="E9" s="30">
        <v>1E-4</v>
      </c>
      <c r="F9" s="30">
        <v>1</v>
      </c>
      <c r="G9" s="30">
        <v>100</v>
      </c>
      <c r="H9" s="30">
        <v>10</v>
      </c>
      <c r="I9" s="30" t="s">
        <v>13</v>
      </c>
      <c r="J9" s="30"/>
      <c r="K9" s="33">
        <v>0.87199997901916504</v>
      </c>
    </row>
    <row r="10" spans="1:13" ht="15.6" x14ac:dyDescent="0.3">
      <c r="A10" s="30" t="s">
        <v>14</v>
      </c>
      <c r="B10" s="30">
        <v>600</v>
      </c>
      <c r="C10" s="30">
        <v>250</v>
      </c>
      <c r="D10" s="30">
        <v>131</v>
      </c>
      <c r="E10" s="30">
        <v>1E-4</v>
      </c>
      <c r="F10" s="30">
        <v>1</v>
      </c>
      <c r="G10" s="30">
        <v>100</v>
      </c>
      <c r="H10" s="30">
        <v>32</v>
      </c>
      <c r="I10" s="30" t="s">
        <v>13</v>
      </c>
      <c r="J10" s="30"/>
      <c r="K10" s="33">
        <v>0.84399998188018799</v>
      </c>
    </row>
    <row r="11" spans="1:13" ht="15.6" x14ac:dyDescent="0.3">
      <c r="A11" s="30" t="s">
        <v>14</v>
      </c>
      <c r="B11" s="30">
        <v>600</v>
      </c>
      <c r="C11" s="30">
        <v>250</v>
      </c>
      <c r="D11" s="30">
        <v>131</v>
      </c>
      <c r="E11" s="30">
        <v>1E-4</v>
      </c>
      <c r="F11" s="30">
        <v>1</v>
      </c>
      <c r="G11" s="30">
        <v>100</v>
      </c>
      <c r="H11" s="30">
        <v>100</v>
      </c>
      <c r="I11" s="30" t="s">
        <v>13</v>
      </c>
      <c r="J11" s="30"/>
      <c r="K11" s="33">
        <v>0.84399998188018799</v>
      </c>
    </row>
    <row r="18" spans="1:15" x14ac:dyDescent="0.25">
      <c r="A18" t="s">
        <v>22</v>
      </c>
    </row>
    <row r="24" spans="1:15" x14ac:dyDescent="0.25">
      <c r="O24">
        <v>100</v>
      </c>
    </row>
    <row r="25" spans="1:15" x14ac:dyDescent="0.25">
      <c r="C25">
        <v>10</v>
      </c>
      <c r="G25">
        <v>32</v>
      </c>
      <c r="J25">
        <v>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E81C-5DDE-4719-93A3-CECE2F182E2E}">
  <dimension ref="B1:M33"/>
  <sheetViews>
    <sheetView tabSelected="1" workbookViewId="0">
      <selection activeCell="L9" sqref="L9"/>
    </sheetView>
  </sheetViews>
  <sheetFormatPr defaultRowHeight="13.8" x14ac:dyDescent="0.25"/>
  <cols>
    <col min="6" max="6" width="13.5546875" customWidth="1"/>
    <col min="7" max="7" width="12.33203125" customWidth="1"/>
    <col min="8" max="8" width="12.21875" customWidth="1"/>
    <col min="9" max="9" width="12.5546875" customWidth="1"/>
    <col min="10" max="10" width="23.33203125" customWidth="1"/>
    <col min="11" max="11" width="26.5546875" customWidth="1"/>
    <col min="12" max="12" width="17.109375" customWidth="1"/>
  </cols>
  <sheetData>
    <row r="1" spans="2:13" ht="15.6" x14ac:dyDescent="0.3">
      <c r="B1" s="41" t="s">
        <v>0</v>
      </c>
      <c r="C1" s="41" t="s">
        <v>1</v>
      </c>
      <c r="D1" s="41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9</v>
      </c>
      <c r="K1" s="41" t="s">
        <v>8</v>
      </c>
    </row>
    <row r="2" spans="2:13" ht="17.399999999999999" x14ac:dyDescent="0.3">
      <c r="B2" s="35" t="s">
        <v>14</v>
      </c>
      <c r="C2" s="35">
        <v>600</v>
      </c>
      <c r="D2" s="35">
        <v>250</v>
      </c>
      <c r="E2" s="35">
        <v>131</v>
      </c>
      <c r="F2" s="35">
        <v>1E-4</v>
      </c>
      <c r="G2" s="35">
        <v>1</v>
      </c>
      <c r="H2" s="35">
        <v>100</v>
      </c>
      <c r="I2" s="35">
        <v>1</v>
      </c>
      <c r="J2" s="35" t="s">
        <v>10</v>
      </c>
      <c r="K2" s="36">
        <v>0.83200001716613703</v>
      </c>
      <c r="L2" s="38">
        <v>0.85199999809265103</v>
      </c>
      <c r="M2">
        <v>9.0135499999999993E-2</v>
      </c>
    </row>
    <row r="3" spans="2:13" ht="17.399999999999999" x14ac:dyDescent="0.3">
      <c r="B3" s="31" t="s">
        <v>14</v>
      </c>
      <c r="C3" s="31">
        <v>600</v>
      </c>
      <c r="D3" s="31">
        <v>250</v>
      </c>
      <c r="E3" s="31">
        <v>131</v>
      </c>
      <c r="F3" s="31">
        <v>1E-4</v>
      </c>
      <c r="G3" s="31">
        <v>1</v>
      </c>
      <c r="H3" s="31">
        <v>100</v>
      </c>
      <c r="I3" s="31">
        <v>1</v>
      </c>
      <c r="J3" s="31" t="s">
        <v>13</v>
      </c>
      <c r="K3" s="37">
        <v>0.85600000619888295</v>
      </c>
      <c r="L3" s="40">
        <v>0.87599998712539595</v>
      </c>
      <c r="M3">
        <v>4.05101E-2</v>
      </c>
    </row>
    <row r="4" spans="2:13" ht="15.6" x14ac:dyDescent="0.3">
      <c r="E4">
        <v>242</v>
      </c>
      <c r="H4">
        <v>100</v>
      </c>
      <c r="J4" s="31" t="s">
        <v>13</v>
      </c>
      <c r="L4">
        <v>0.86799997091293302</v>
      </c>
      <c r="M4">
        <v>7.0000000000000001E-3</v>
      </c>
    </row>
    <row r="5" spans="2:13" ht="15.6" x14ac:dyDescent="0.3">
      <c r="E5">
        <v>242</v>
      </c>
      <c r="H5">
        <v>100</v>
      </c>
      <c r="J5" s="35" t="s">
        <v>10</v>
      </c>
      <c r="L5">
        <v>0.83600002527236905</v>
      </c>
    </row>
    <row r="6" spans="2:13" ht="15.6" x14ac:dyDescent="0.3">
      <c r="E6">
        <v>242</v>
      </c>
      <c r="H6">
        <v>300</v>
      </c>
      <c r="J6" s="31" t="s">
        <v>13</v>
      </c>
      <c r="L6">
        <v>0.86400002241134599</v>
      </c>
    </row>
    <row r="7" spans="2:13" ht="15.6" x14ac:dyDescent="0.3">
      <c r="E7">
        <v>242</v>
      </c>
      <c r="H7">
        <v>300</v>
      </c>
      <c r="J7" s="35" t="s">
        <v>10</v>
      </c>
      <c r="L7">
        <v>0.84799998998641901</v>
      </c>
    </row>
    <row r="17" spans="2:13" ht="17.399999999999999" x14ac:dyDescent="0.3">
      <c r="B17" s="35" t="s">
        <v>14</v>
      </c>
      <c r="C17" s="35">
        <v>600</v>
      </c>
      <c r="D17" s="35">
        <v>250</v>
      </c>
      <c r="E17" s="35">
        <v>131</v>
      </c>
      <c r="F17" s="35">
        <v>1E-4</v>
      </c>
      <c r="G17" s="35">
        <v>1</v>
      </c>
      <c r="H17" s="35">
        <v>100</v>
      </c>
      <c r="I17" s="35">
        <v>10</v>
      </c>
      <c r="J17" s="35" t="s">
        <v>10</v>
      </c>
      <c r="K17" s="36"/>
      <c r="L17" s="38">
        <v>0.86400002241134599</v>
      </c>
      <c r="M17">
        <v>0.123941</v>
      </c>
    </row>
    <row r="18" spans="2:13" ht="17.399999999999999" x14ac:dyDescent="0.3">
      <c r="B18" s="31" t="s">
        <v>14</v>
      </c>
      <c r="C18" s="31">
        <v>600</v>
      </c>
      <c r="D18" s="31">
        <v>250</v>
      </c>
      <c r="E18" s="31">
        <v>131</v>
      </c>
      <c r="F18" s="31">
        <v>1E-4</v>
      </c>
      <c r="G18" s="31">
        <v>1</v>
      </c>
      <c r="H18" s="31">
        <v>100</v>
      </c>
      <c r="I18" s="31">
        <v>10</v>
      </c>
      <c r="J18" s="31" t="s">
        <v>13</v>
      </c>
      <c r="K18" s="37">
        <v>0.84399998188018799</v>
      </c>
      <c r="L18" s="40">
        <v>0.83600002527236905</v>
      </c>
      <c r="M18">
        <v>9.5310400000000003E-2</v>
      </c>
    </row>
    <row r="20" spans="2:13" ht="17.399999999999999" x14ac:dyDescent="0.3">
      <c r="B20" s="35" t="s">
        <v>14</v>
      </c>
      <c r="C20" s="35">
        <v>600</v>
      </c>
      <c r="D20" s="35">
        <v>250</v>
      </c>
      <c r="E20" s="35">
        <v>131</v>
      </c>
      <c r="F20" s="35">
        <v>1E-4</v>
      </c>
      <c r="G20" s="35">
        <v>1</v>
      </c>
      <c r="H20" s="35">
        <v>100</v>
      </c>
      <c r="I20" s="35">
        <v>50</v>
      </c>
      <c r="J20" s="35" t="s">
        <v>10</v>
      </c>
      <c r="K20" s="36"/>
      <c r="L20" s="38">
        <v>0.84399998188018799</v>
      </c>
      <c r="M20">
        <v>0.23499200000000001</v>
      </c>
    </row>
    <row r="21" spans="2:13" ht="17.399999999999999" x14ac:dyDescent="0.3">
      <c r="B21" s="31" t="s">
        <v>14</v>
      </c>
      <c r="C21" s="31">
        <v>600</v>
      </c>
      <c r="D21" s="31">
        <v>250</v>
      </c>
      <c r="E21" s="31">
        <v>131</v>
      </c>
      <c r="F21" s="31">
        <v>1E-4</v>
      </c>
      <c r="G21" s="31">
        <v>1</v>
      </c>
      <c r="H21" s="31">
        <v>100</v>
      </c>
      <c r="I21" s="31">
        <v>50</v>
      </c>
      <c r="J21" s="31" t="s">
        <v>13</v>
      </c>
      <c r="K21" s="37">
        <v>0.79600000381469704</v>
      </c>
    </row>
    <row r="23" spans="2:13" ht="17.399999999999999" x14ac:dyDescent="0.3">
      <c r="B23" s="35" t="s">
        <v>14</v>
      </c>
      <c r="C23" s="35">
        <v>600</v>
      </c>
      <c r="D23" s="35">
        <v>250</v>
      </c>
      <c r="E23" s="35">
        <v>131</v>
      </c>
      <c r="F23" s="35">
        <v>1E-4</v>
      </c>
      <c r="G23" s="35">
        <v>1</v>
      </c>
      <c r="H23" s="35">
        <v>100</v>
      </c>
      <c r="I23" s="35">
        <v>100</v>
      </c>
      <c r="J23" s="35" t="s">
        <v>10</v>
      </c>
      <c r="K23" s="37"/>
      <c r="L23" s="38">
        <v>0.83600002527236905</v>
      </c>
      <c r="M23">
        <v>0.27368199999999998</v>
      </c>
    </row>
    <row r="24" spans="2:13" ht="17.399999999999999" x14ac:dyDescent="0.3">
      <c r="B24" s="31" t="s">
        <v>14</v>
      </c>
      <c r="C24" s="31">
        <v>600</v>
      </c>
      <c r="D24" s="31">
        <v>250</v>
      </c>
      <c r="E24" s="31">
        <v>131</v>
      </c>
      <c r="F24" s="31">
        <v>1E-4</v>
      </c>
      <c r="G24" s="31">
        <v>1</v>
      </c>
      <c r="H24" s="31">
        <v>100</v>
      </c>
      <c r="I24" s="31">
        <v>100</v>
      </c>
      <c r="J24" s="31" t="s">
        <v>13</v>
      </c>
      <c r="K24" s="37"/>
    </row>
    <row r="32" spans="2:13" x14ac:dyDescent="0.25">
      <c r="G32">
        <v>100</v>
      </c>
      <c r="H32" t="s">
        <v>23</v>
      </c>
      <c r="I32">
        <v>0.86400002241134599</v>
      </c>
    </row>
    <row r="33" spans="7:9" x14ac:dyDescent="0.25">
      <c r="G33">
        <v>300</v>
      </c>
      <c r="I33">
        <v>0.86400002241134599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2020-04-02T15:49:45Z</dcterms:modified>
</cp:coreProperties>
</file>