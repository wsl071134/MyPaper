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FB0F875E-E367-44A7-B34A-3E777EB4E563}" xr6:coauthVersionLast="45" xr6:coauthVersionMax="45" xr10:uidLastSave="{00000000-0000-0000-0000-000000000000}"/>
  <bookViews>
    <workbookView xWindow="-108" yWindow="-108" windowWidth="23256" windowHeight="12576" xr2:uid="{00000000-000D-0000-FFFF-FFFF00000000}"/>
  </bookViews>
  <sheets>
    <sheet name="Sheet1" sheetId="1" r:id="rId1"/>
    <sheet name="Sheet2" sheetId="2" r:id="rId2"/>
    <sheet name="Sheet3" sheetId="3" r:id="rId3"/>
    <sheet name="Sheet4" sheetId="4" r:id="rId4"/>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7" i="3" l="1"/>
  <c r="D17" i="3"/>
  <c r="C17" i="3"/>
  <c r="B17" i="3"/>
  <c r="N3" i="2"/>
</calcChain>
</file>

<file path=xl/sharedStrings.xml><?xml version="1.0" encoding="utf-8"?>
<sst xmlns="http://schemas.openxmlformats.org/spreadsheetml/2006/main" count="184" uniqueCount="170">
  <si>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</si>
  <si>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</si>
  <si>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</si>
  <si>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</si>
  <si>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</si>
  <si>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</si>
  <si>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</si>
  <si>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</si>
  <si>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</si>
  <si>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</si>
  <si>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</si>
  <si>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</si>
  <si>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</si>
  <si>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</si>
  <si>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</si>
  <si>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</si>
  <si>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</si>
  <si>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</si>
  <si>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</si>
  <si>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</si>
  <si>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</si>
  <si>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</si>
  <si>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</si>
  <si>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</si>
  <si>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</si>
  <si>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</si>
  <si>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</si>
  <si>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</si>
  <si>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</si>
  <si>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</si>
  <si>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</si>
  <si>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</si>
  <si>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</si>
  <si>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</si>
  <si>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</si>
  <si>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</si>
  <si>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</si>
  <si>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</si>
  <si>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</si>
  <si>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</si>
  <si>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</si>
  <si>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</si>
  <si>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</si>
  <si>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</si>
  <si>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</si>
  <si>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</si>
  <si>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</si>
  <si>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</si>
  <si>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</si>
  <si>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</si>
  <si>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</si>
  <si>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</si>
  <si>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</si>
  <si>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</si>
  <si>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</si>
  <si>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</si>
  <si>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</si>
  <si>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</si>
  <si>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</si>
  <si>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</si>
  <si>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</si>
  <si>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</si>
  <si>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</si>
  <si>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</si>
  <si>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</si>
  <si>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</si>
  <si>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</si>
  <si>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</si>
  <si>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</si>
  <si>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</si>
  <si>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</si>
  <si>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</si>
  <si>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</si>
  <si>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</si>
  <si>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</si>
  <si>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</si>
  <si>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</si>
  <si>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</si>
  <si>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</si>
  <si>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</si>
  <si>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</si>
  <si>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</si>
  <si>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</si>
  <si>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</si>
  <si>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</si>
  <si>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</si>
  <si>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</si>
  <si>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</si>
  <si>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</si>
  <si>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</si>
  <si>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</si>
  <si>
    <t>Name</t>
  </si>
  <si>
    <t>Statistics</t>
  </si>
  <si>
    <t>BZR</t>
  </si>
  <si>
    <t>BZR_MD</t>
  </si>
  <si>
    <t>COX2</t>
  </si>
  <si>
    <t>DHFR</t>
  </si>
  <si>
    <t>DD</t>
  </si>
  <si>
    <t>IMDB-BINARY</t>
  </si>
  <si>
    <t>Num. of Graphs</t>
  </si>
  <si>
    <t>Num. of Classes</t>
  </si>
  <si>
    <t>Avg. Number of Edges</t>
  </si>
  <si>
    <t>KKI</t>
  </si>
  <si>
    <t>PROTEINS</t>
  </si>
  <si>
    <t>PTC_MR</t>
  </si>
  <si>
    <t>MUTAG</t>
  </si>
  <si>
    <t>NCI1</t>
  </si>
  <si>
    <t>IMDB-MULTI</t>
  </si>
  <si>
    <t>Avg. +F17+E2:E15+E2:E16+E2:E16</t>
    <phoneticPr fontId="1" type="noConversion"/>
  </si>
  <si>
    <r>
      <t>表</t>
    </r>
    <r>
      <rPr>
        <sz val="12"/>
        <color theme="1"/>
        <rFont val="Times New Roman"/>
        <family val="1"/>
      </rPr>
      <t>3.1livermo</t>
    </r>
    <r>
      <rPr>
        <sz val="12"/>
        <color theme="1"/>
        <rFont val="宋体"/>
        <family val="3"/>
        <charset val="134"/>
      </rPr>
      <t>循环详情表</t>
    </r>
  </si>
  <si>
    <t>表3.2 NPB详情表</t>
    <phoneticPr fontId="1" type="noConversion"/>
  </si>
  <si>
    <t>表3.3一般程序详情表</t>
    <phoneticPr fontId="1" type="noConversion"/>
  </si>
  <si>
    <t>data</t>
    <phoneticPr fontId="1" type="noConversion"/>
  </si>
  <si>
    <r>
      <t>图</t>
    </r>
    <r>
      <rPr>
        <sz val="12"/>
        <color theme="1"/>
        <rFont val="Times New Roman"/>
        <family val="1"/>
      </rPr>
      <t>3.1</t>
    </r>
    <r>
      <rPr>
        <sz val="12"/>
        <color theme="1"/>
        <rFont val="宋体"/>
        <family val="3"/>
        <charset val="134"/>
      </rPr>
      <t>目录结构说明</t>
    </r>
  </si>
  <si>
    <t>图3.2程序的抽象结构</t>
    <phoneticPr fontId="1" type="noConversion"/>
  </si>
  <si>
    <r>
      <t>图</t>
    </r>
    <r>
      <rPr>
        <sz val="12"/>
        <color theme="1"/>
        <rFont val="Times New Roman"/>
        <family val="1"/>
      </rPr>
      <t>3.3</t>
    </r>
    <r>
      <rPr>
        <sz val="12"/>
        <color theme="1"/>
        <rFont val="宋体"/>
        <family val="3"/>
        <charset val="134"/>
      </rPr>
      <t>循环提取算法</t>
    </r>
    <phoneticPr fontId="1" type="noConversion"/>
  </si>
  <si>
    <r>
      <t>图</t>
    </r>
    <r>
      <rPr>
        <sz val="12"/>
        <color theme="1"/>
        <rFont val="Times New Roman"/>
        <family val="1"/>
      </rPr>
      <t>3.4</t>
    </r>
    <r>
      <rPr>
        <sz val="12"/>
        <color theme="1"/>
        <rFont val="宋体"/>
        <family val="3"/>
        <charset val="134"/>
      </rPr>
      <t>代码重构算法</t>
    </r>
    <phoneticPr fontId="1" type="noConversion"/>
  </si>
  <si>
    <r>
      <t>图</t>
    </r>
    <r>
      <rPr>
        <sz val="12"/>
        <color theme="1"/>
        <rFont val="Times New Roman"/>
        <family val="1"/>
      </rPr>
      <t>3.5</t>
    </r>
    <r>
      <rPr>
        <sz val="12"/>
        <color theme="1"/>
        <rFont val="宋体"/>
        <family val="3"/>
        <charset val="134"/>
      </rPr>
      <t>编译命令</t>
    </r>
    <phoneticPr fontId="1" type="noConversion"/>
  </si>
  <si>
    <r>
      <t>图</t>
    </r>
    <r>
      <rPr>
        <sz val="12"/>
        <color theme="1"/>
        <rFont val="Times New Roman"/>
        <family val="1"/>
      </rPr>
      <t>3.6Pluto</t>
    </r>
    <r>
      <rPr>
        <sz val="12"/>
        <color theme="1"/>
        <rFont val="宋体"/>
        <family val="3"/>
        <charset val="134"/>
      </rPr>
      <t>命令</t>
    </r>
    <phoneticPr fontId="1" type="noConversion"/>
  </si>
  <si>
    <r>
      <t>图</t>
    </r>
    <r>
      <rPr>
        <sz val="12"/>
        <color theme="1"/>
        <rFont val="Times New Roman"/>
        <family val="1"/>
      </rPr>
      <t>3.7Pluto</t>
    </r>
    <r>
      <rPr>
        <sz val="12"/>
        <color theme="1"/>
        <rFont val="宋体"/>
        <family val="3"/>
        <charset val="134"/>
      </rPr>
      <t>转换结果</t>
    </r>
  </si>
  <si>
    <r>
      <t>表</t>
    </r>
    <r>
      <rPr>
        <sz val="12"/>
        <color theme="1"/>
        <rFont val="Times New Roman"/>
        <family val="1"/>
      </rPr>
      <t>3.4Pluto</t>
    </r>
    <r>
      <rPr>
        <sz val="12"/>
        <color theme="1"/>
        <rFont val="宋体"/>
        <family val="3"/>
        <charset val="134"/>
      </rPr>
      <t>命令参数表</t>
    </r>
  </si>
  <si>
    <t>数学库</t>
    <phoneticPr fontId="1" type="noConversion"/>
  </si>
  <si>
    <r>
      <t>图</t>
    </r>
    <r>
      <rPr>
        <sz val="12"/>
        <color theme="1"/>
        <rFont val="Times New Roman"/>
        <family val="1"/>
      </rPr>
      <t>3.8</t>
    </r>
    <r>
      <rPr>
        <sz val="12"/>
        <color theme="1"/>
        <rFont val="宋体"/>
        <family val="3"/>
        <charset val="134"/>
      </rPr>
      <t>非</t>
    </r>
    <r>
      <rPr>
        <sz val="12"/>
        <color theme="1"/>
        <rFont val="Times New Roman"/>
        <family val="1"/>
      </rPr>
      <t>IR</t>
    </r>
    <r>
      <rPr>
        <sz val="12"/>
        <color theme="1"/>
        <rFont val="宋体"/>
        <family val="3"/>
        <charset val="134"/>
      </rPr>
      <t>指令内容</t>
    </r>
    <phoneticPr fontId="1" type="noConversion"/>
  </si>
  <si>
    <t xml:space="preserve">  数据文件夹根目录</t>
    <phoneticPr fontId="1" type="noConversion"/>
  </si>
  <si>
    <t xml:space="preserve">  头文件存放根目录</t>
    <phoneticPr fontId="1" type="noConversion"/>
  </si>
  <si>
    <t xml:space="preserve">  脚本日志文件根目录</t>
    <phoneticPr fontId="1" type="noConversion"/>
  </si>
  <si>
    <t xml:space="preserve">  编译错误日志文件</t>
    <phoneticPr fontId="1" type="noConversion"/>
  </si>
  <si>
    <t xml:space="preserve">  Pluto编译器转换错误日志文件</t>
    <phoneticPr fontId="1" type="noConversion"/>
  </si>
  <si>
    <t xml:space="preserve">  搜集的源码文件(.c/.cpp)按照分类分别存储</t>
    <phoneticPr fontId="1" type="noConversion"/>
  </si>
  <si>
    <t xml:space="preserve">  循环提取重构后的文件根目录(.c/.cpp)</t>
    <phoneticPr fontId="1" type="noConversion"/>
  </si>
  <si>
    <t xml:space="preserve">  LLVM IR文件根目录</t>
    <phoneticPr fontId="1" type="noConversion"/>
  </si>
  <si>
    <t xml:space="preserve">  编译验证阶段所有IR文件存放目录(.ll)</t>
    <phoneticPr fontId="1" type="noConversion"/>
  </si>
  <si>
    <t xml:space="preserve">  数据标注阶段可并行文件对应的IR文件目录(.ll)</t>
    <phoneticPr fontId="1" type="noConversion"/>
  </si>
  <si>
    <t xml:space="preserve">  数据标注阶段不可并行文件对应的IR文件目录(.ll)</t>
    <phoneticPr fontId="1" type="noConversion"/>
  </si>
  <si>
    <t xml:space="preserve">  pluto编译器转换后的文件(.c/.cpp)</t>
    <phoneticPr fontId="1" type="noConversion"/>
  </si>
  <si>
    <t xml:space="preserve">  程序的上下文流图文件根目录</t>
    <phoneticPr fontId="1" type="noConversion"/>
  </si>
  <si>
    <t xml:space="preserve">  可并行文件IR(IR/parallel)对应的XFG目录(.p/.txt)</t>
    <phoneticPr fontId="1" type="noConversion"/>
  </si>
  <si>
    <t xml:space="preserve">  不可并行文件IR(IR/unparallel)对应的XFG目录(.p/.txt)</t>
    <phoneticPr fontId="1" type="noConversion"/>
  </si>
  <si>
    <t xml:space="preserve"> XFG/unparallel</t>
    <phoneticPr fontId="1" type="noConversion"/>
  </si>
  <si>
    <t xml:space="preserve"> XFG/parallel</t>
    <phoneticPr fontId="1" type="noConversion"/>
  </si>
  <si>
    <t xml:space="preserve"> XFG</t>
    <phoneticPr fontId="1" type="noConversion"/>
  </si>
  <si>
    <t xml:space="preserve"> after_pluto</t>
    <phoneticPr fontId="1" type="noConversion"/>
  </si>
  <si>
    <t xml:space="preserve"> IR/unparallel</t>
    <phoneticPr fontId="1" type="noConversion"/>
  </si>
  <si>
    <t xml:space="preserve"> IR/parallel</t>
    <phoneticPr fontId="1" type="noConversion"/>
  </si>
  <si>
    <t xml:space="preserve"> IR/tottal</t>
    <phoneticPr fontId="1" type="noConversion"/>
  </si>
  <si>
    <t xml:space="preserve"> IR</t>
    <phoneticPr fontId="1" type="noConversion"/>
  </si>
  <si>
    <t xml:space="preserve"> after_extract</t>
    <phoneticPr fontId="1" type="noConversion"/>
  </si>
  <si>
    <t xml:space="preserve"> source_code</t>
    <phoneticPr fontId="1" type="noConversion"/>
  </si>
  <si>
    <t xml:space="preserve"> logs/pluto_error.log</t>
    <phoneticPr fontId="1" type="noConversion"/>
  </si>
  <si>
    <t xml:space="preserve"> logs/compile_error.log</t>
    <phoneticPr fontId="1" type="noConversion"/>
  </si>
  <si>
    <t xml:space="preserve"> logs</t>
    <phoneticPr fontId="1" type="noConversion"/>
  </si>
  <si>
    <t xml:space="preserve"> headers</t>
    <phoneticPr fontId="1" type="noConversion"/>
  </si>
  <si>
    <t xml:space="preserve"> data</t>
    <phoneticPr fontId="1" type="noConversion"/>
  </si>
  <si>
    <t>|</t>
    <phoneticPr fontId="1" type="noConversion"/>
  </si>
  <si>
    <t>-----</t>
    <phoneticPr fontId="1" type="noConversion"/>
  </si>
  <si>
    <t>An End-to-End Deep LearningArchitecture for Graph Classification</t>
    <phoneticPr fontId="1" type="noConversion"/>
  </si>
  <si>
    <t>AIDS</t>
    <phoneticPr fontId="1" type="noConversion"/>
  </si>
  <si>
    <t>COLLAB</t>
  </si>
  <si>
    <t>Robust Bi-Tempered Logistic Loss Based on Bregman Divergences</t>
    <phoneticPr fontId="1" type="noConversion"/>
  </si>
  <si>
    <t>凌兴宏. 基于XML的Agent通信语言[J]. 计算机应用研究, 2003, 20(7):152-154.</t>
    <phoneticPr fontId="1" type="noConversion"/>
  </si>
  <si>
    <t>于东, 李筱颿, 黄艳, et al. 基于XML的STEP-NC程序解释器的设计与实现[J]. 小型微型计算机系统, 2009, 30(10):1956-1959.</t>
    <phoneticPr fontId="1" type="noConversion"/>
  </si>
  <si>
    <t>陈欣, 胡晓惠, 付勇, et al. 基于XML的仿真想定标记语言SSML[J]. 系统仿真学报, 2004, 16(9):1928-1930.</t>
    <phoneticPr fontId="1" type="noConversion"/>
  </si>
  <si>
    <t>吴倩, 陶亦亦, 陆春元. 基于XML的软PLC语言编辑系统的设计与实现[J]. 机械制造与自动化, 2007, 36(2):100-102.</t>
    <phoneticPr fontId="1" type="noConversion"/>
  </si>
  <si>
    <t>陈林, 黄晔. 基于XML的消息队列标记语言[J]. 计算机工程, 2007, 33(19):85-87.</t>
    <phoneticPr fontId="1" type="noConversion"/>
  </si>
  <si>
    <t>钟莹, 陈祥献. 基于XML的虚拟仪器标记语言--VIML[J]. 仪器仪表学报, 2002(s3).</t>
    <phoneticPr fontId="1" type="noConversion"/>
  </si>
  <si>
    <t>姚屏. 基于XML的机械图形标记语言的研究与开发[D]. 中南大学, 2005.</t>
    <phoneticPr fontId="1" type="noConversion"/>
  </si>
  <si>
    <t>D. Kirk, W. Hwu, “Programming Massively Parallel Processors: A Hands-on Approach,” Morgan Kaufmann, 2010.</t>
    <phoneticPr fontId="1" type="noConversion"/>
  </si>
  <si>
    <t>W. Hwu, K. Keutzer, T.G. Mattson, “The concurrency challenge,” IEEE Design and Test of Computer, vol. 25, no. 4, July 2008, pp. 312-320.</t>
    <phoneticPr fontId="1" type="noConversion"/>
  </si>
  <si>
    <t>Palkowski M, Bielecki W. Tiling Nussinov’s RNA folding loop nest with a space-time approach[J]. BMC bioinformatics, 2019, 20(1): 208.</t>
    <phoneticPr fontId="1" type="noConversion"/>
  </si>
  <si>
    <r>
      <t>ilexica GmbH</t>
    </r>
    <r>
      <rPr>
        <sz val="9"/>
        <color rgb="FF333333"/>
        <rFont val="Arial"/>
        <family val="2"/>
      </rPr>
      <t>, [online] Available: https://www.silexica.com.</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</si>
</sst>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等线"/>
      <family val="2"/>
      <scheme val="minor"/>
    </font>
    <font>
      <sz val="9"/>
      <name val="等线"/>
      <family val="3"/>
      <charset val="134"/>
      <scheme val="minor"/>
    </font>
    <font>
      <sz val="12"/>
      <color theme="1"/>
      <name val="Times New Roman"/>
      <family val="1"/>
    </font>
    <font>
      <sz val="12"/>
      <color theme="1"/>
      <name val="宋体"/>
      <family val="3"/>
      <charset val="134"/>
    </font>
    <font>
      <b/>
      <sz val="12"/>
      <color rgb="FF000000"/>
      <name val="Arial"/>
      <family val="2"/>
    </font>
    <font>
      <sz val="12"/>
      <color theme="1"/>
      <name val="等线"/>
      <family val="2"/>
      <scheme val="minor"/>
    </font>
    <font>
      <sz val="12"/>
      <color rgb="FF000000"/>
      <name val="Arial"/>
      <family val="2"/>
    </font>
    <font>
      <i/>
      <sz val="12"/>
      <color rgb="FF000000"/>
      <name val="Arial"/>
      <family val="2"/>
    </font>
    <font>
      <sz val="16"/>
      <color theme="1"/>
      <name val="黑体"/>
      <family val="3"/>
      <charset val="134"/>
    </font>
    <font>
      <u/>
      <sz val="11"/>
      <color theme="10"/>
      <name val="等线"/>
      <family val="2"/>
      <scheme val="minor"/>
    </font>
    <font>
      <i/>
      <sz val="9"/>
      <color rgb="FF333333"/>
      <name val="Arial"/>
      <family val="2"/>
    </font>
    <font>
      <sz val="9"/>
      <color rgb="FF333333"/>
      <name val="Arial"/>
      <family val="2"/>
    </font>
  </fonts>
  <fills count="6">
    <fill>
      <patternFill patternType="none"/>
    </fill>
    <fill>
      <patternFill patternType="gray125"/>
    </fill>
    <fill>
      <patternFill patternType="solid">
        <fgColor theme="5" tint="0.79998168889431442"/>
        <bgColor indexed="64"/>
      </patternFill>
    </fill>
    <fill>
      <patternFill patternType="solid">
        <fgColor rgb="FFFFFFFF"/>
        <bgColor indexed="64"/>
      </patternFill>
    </fill>
    <fill>
      <patternFill patternType="solid">
        <fgColor rgb="FFE0EACC"/>
        <bgColor indexed="64"/>
      </patternFill>
    </fill>
    <fill>
      <patternFill patternType="solid">
        <fgColor theme="9"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rgb="FFB2B3B6"/>
      </left>
      <right style="medium">
        <color rgb="FFB2B3B6"/>
      </right>
      <top style="medium">
        <color rgb="FFB2B3B6"/>
      </top>
      <bottom style="medium">
        <color rgb="FFB2B3B6"/>
      </bottom>
      <diagonal/>
    </border>
    <border>
      <left style="medium">
        <color rgb="FFB2B3B6"/>
      </left>
      <right/>
      <top style="medium">
        <color rgb="FFB2B3B6"/>
      </top>
      <bottom style="medium">
        <color rgb="FFB2B3B6"/>
      </bottom>
      <diagonal/>
    </border>
    <border>
      <left/>
      <right/>
      <top style="medium">
        <color rgb="FFB2B3B6"/>
      </top>
      <bottom style="medium">
        <color rgb="FFB2B3B6"/>
      </bottom>
      <diagonal/>
    </border>
    <border>
      <left/>
      <right style="medium">
        <color rgb="FFB2B3B6"/>
      </right>
      <top style="medium">
        <color rgb="FFB2B3B6"/>
      </top>
      <bottom style="medium">
        <color rgb="FFB2B3B6"/>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0" fillId="2" borderId="1" xfId="0" applyFill="1" applyBorder="1" applyAlignment="1">
      <alignment wrapText="1"/>
    </xf>
    <xf numFmtId="0" fontId="3" fillId="0" borderId="0" xfId="0" applyFont="1" applyAlignment="1">
      <alignment horizontal="center" vertical="center"/>
    </xf>
    <xf numFmtId="0" fontId="4" fillId="4" borderId="2" xfId="0" applyFont="1" applyFill="1" applyBorder="1" applyAlignment="1">
      <alignment horizontal="center" vertical="center" wrapText="1"/>
    </xf>
    <xf numFmtId="0" fontId="5" fillId="0" borderId="0" xfId="0" applyFont="1" applyAlignment="1">
      <alignment horizontal="center"/>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5" fillId="0" borderId="0" xfId="0" applyFont="1" applyAlignment="1">
      <alignment horizontal="left"/>
    </xf>
    <xf numFmtId="0" fontId="5" fillId="0" borderId="0" xfId="0" applyFont="1" applyAlignment="1">
      <alignment horizontal="center" vertical="center"/>
    </xf>
    <xf numFmtId="0" fontId="0" fillId="0" borderId="0" xfId="0" applyAlignment="1">
      <alignment horizontal="right"/>
    </xf>
    <xf numFmtId="0" fontId="0" fillId="0" borderId="0" xfId="0" quotePrefix="1" applyAlignment="1">
      <alignment horizontal="center"/>
    </xf>
    <xf numFmtId="0" fontId="8" fillId="0" borderId="6" xfId="0" applyFont="1" applyFill="1" applyBorder="1" applyAlignment="1">
      <alignment horizontal="left" vertical="center"/>
    </xf>
    <xf numFmtId="0" fontId="0" fillId="5" borderId="1" xfId="0" applyFill="1" applyBorder="1" applyAlignment="1">
      <alignment horizontal="center"/>
    </xf>
    <xf numFmtId="0" fontId="0" fillId="5" borderId="1" xfId="0" applyFill="1" applyBorder="1" applyAlignment="1">
      <alignment horizontal="center" wrapText="1"/>
    </xf>
    <xf numFmtId="0" fontId="9" fillId="2" borderId="1" xfId="1" applyFill="1" applyBorder="1" applyAlignment="1">
      <alignment wrapText="1"/>
    </xf>
    <xf numFmtId="0" fontId="4" fillId="4" borderId="3"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9" fillId="0" borderId="0" xfId="1" applyFill="1"/>
    <xf numFmtId="0" fontId="9" fillId="0" borderId="0" xfId="1" applyFill="1" applyAlignment="1">
      <alignment wrapText="1"/>
    </xf>
    <xf numFmtId="0" fontId="10" fillId="0" borderId="0" xfId="0" applyFont="1"/>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866505</xdr:colOff>
      <xdr:row>21</xdr:row>
      <xdr:rowOff>193767</xdr:rowOff>
    </xdr:from>
    <xdr:to>
      <xdr:col>7</xdr:col>
      <xdr:colOff>583553</xdr:colOff>
      <xdr:row>37</xdr:row>
      <xdr:rowOff>10887</xdr:rowOff>
    </xdr:to>
    <xdr:pic>
      <xdr:nvPicPr>
        <xdr:cNvPr id="2" name="图片 1">
          <a:extLst>
            <a:ext uri="{FF2B5EF4-FFF2-40B4-BE49-F238E27FC236}">
              <a16:creationId xmlns:a16="http://schemas.microsoft.com/office/drawing/2014/main" id="{6D322DB7-957C-45DB-9720-6C669702206F}"/>
            </a:ext>
          </a:extLst>
        </xdr:cNvPr>
        <xdr:cNvPicPr>
          <a:picLocks noChangeAspect="1"/>
        </xdr:cNvPicPr>
      </xdr:nvPicPr>
      <xdr:blipFill>
        <a:blip xmlns:r="http://schemas.openxmlformats.org/officeDocument/2006/relationships" r:embed="rId1"/>
        <a:stretch>
          <a:fillRect/>
        </a:stretch>
      </xdr:blipFill>
      <xdr:spPr>
        <a:xfrm>
          <a:off x="2379619" y="4874624"/>
          <a:ext cx="6237591" cy="65553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15240</xdr:colOff>
      <xdr:row>18</xdr:row>
      <xdr:rowOff>137160</xdr:rowOff>
    </xdr:to>
    <xdr:pic>
      <xdr:nvPicPr>
        <xdr:cNvPr id="2" name="图片 1">
          <a:extLst>
            <a:ext uri="{FF2B5EF4-FFF2-40B4-BE49-F238E27FC236}">
              <a16:creationId xmlns:a16="http://schemas.microsoft.com/office/drawing/2014/main" id="{DB219CFD-6D36-4BFD-8FD6-980E440FEBEE}"/>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7940040" cy="32918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llvm.org/.%20%5bOnline;%20accessed%2026-July-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www.appentra.com/products/parallware/.%20%5bOnline;%20accessed%2012-April-2015%5d." TargetMode="External"/><Relationship Id="rId5" Type="http://schemas.openxmlformats.org/officeDocument/2006/relationships/hyperlink" Target="http://www.criticalblue.com/prism-technology.html.%20%5bOnline;%20accessed%2012-April-2015%5d." TargetMode="External"/><Relationship Id="rId4" Type="http://schemas.openxmlformats.org/officeDocument/2006/relationships/hyperlink" Target="https://silexica.com/products.%20%5bOnline;%20accessed%2015-March-2016%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1"/>
  <sheetViews>
    <sheetView tabSelected="1" topLeftCell="A46" workbookViewId="0">
      <selection activeCell="B55" sqref="B54:B55"/>
    </sheetView>
  </sheetViews>
  <sheetFormatPr defaultRowHeight="13.8" x14ac:dyDescent="0.25"/>
  <cols>
    <col min="1" max="1" width="8.88671875" style="12"/>
    <col min="2" max="2" width="103.77734375" style="1" customWidth="1"/>
    <col min="3" max="3" width="46.77734375" customWidth="1"/>
  </cols>
  <sheetData>
    <row r="1" spans="1:2" s="1" customFormat="1" x14ac:dyDescent="0.25">
      <c r="A1" s="13">
        <v>1</v>
      </c>
      <c r="B1" s="1" t="s">
        <v>166</v>
      </c>
    </row>
    <row r="2" spans="1:2" s="1" customFormat="1" ht="27.6" x14ac:dyDescent="0.25">
      <c r="A2" s="13">
        <v>2</v>
      </c>
      <c r="B2" s="1" t="s">
        <v>167</v>
      </c>
    </row>
    <row r="3" spans="1:2" s="1" customFormat="1" x14ac:dyDescent="0.25">
      <c r="A3" s="13">
        <v>3</v>
      </c>
      <c r="B3" s="1" t="s">
        <v>0</v>
      </c>
    </row>
    <row r="4" spans="1:2" s="1" customFormat="1" x14ac:dyDescent="0.25">
      <c r="A4" s="13">
        <v>4</v>
      </c>
      <c r="B4" s="1" t="s">
        <v>1</v>
      </c>
    </row>
    <row r="5" spans="1:2" s="1" customFormat="1" ht="27.6" x14ac:dyDescent="0.25">
      <c r="A5" s="13">
        <v>5</v>
      </c>
      <c r="B5" s="1" t="s">
        <v>2</v>
      </c>
    </row>
    <row r="6" spans="1:2" s="1" customFormat="1" x14ac:dyDescent="0.25">
      <c r="A6" s="13">
        <v>6</v>
      </c>
      <c r="B6" s="1" t="s">
        <v>3</v>
      </c>
    </row>
    <row r="7" spans="1:2" s="1" customFormat="1" x14ac:dyDescent="0.25">
      <c r="A7" s="13">
        <v>7</v>
      </c>
      <c r="B7" s="1" t="s">
        <v>4</v>
      </c>
    </row>
    <row r="8" spans="1:2" s="1" customFormat="1" x14ac:dyDescent="0.25">
      <c r="A8" s="13">
        <v>8</v>
      </c>
      <c r="B8" s="1" t="s">
        <v>5</v>
      </c>
    </row>
    <row r="9" spans="1:2" s="1" customFormat="1" x14ac:dyDescent="0.25">
      <c r="A9" s="13">
        <v>9</v>
      </c>
      <c r="B9" s="1" t="s">
        <v>6</v>
      </c>
    </row>
    <row r="10" spans="1:2" s="1" customFormat="1" x14ac:dyDescent="0.25">
      <c r="A10" s="13">
        <v>10</v>
      </c>
      <c r="B10" s="1" t="s">
        <v>7</v>
      </c>
    </row>
    <row r="11" spans="1:2" s="1" customFormat="1" x14ac:dyDescent="0.25">
      <c r="A11" s="13">
        <v>11</v>
      </c>
      <c r="B11" s="1" t="s">
        <v>8</v>
      </c>
    </row>
    <row r="12" spans="1:2" s="1" customFormat="1" x14ac:dyDescent="0.25">
      <c r="A12" s="13">
        <v>12</v>
      </c>
      <c r="B12" s="1" t="s">
        <v>9</v>
      </c>
    </row>
    <row r="13" spans="1:2" s="1" customFormat="1" x14ac:dyDescent="0.25">
      <c r="A13" s="13">
        <v>13</v>
      </c>
      <c r="B13" s="1" t="s">
        <v>10</v>
      </c>
    </row>
    <row r="14" spans="1:2" s="1" customFormat="1" x14ac:dyDescent="0.25">
      <c r="A14" s="13">
        <v>14</v>
      </c>
      <c r="B14" s="1" t="s">
        <v>11</v>
      </c>
    </row>
    <row r="15" spans="1:2" s="1" customFormat="1" x14ac:dyDescent="0.25">
      <c r="A15" s="13">
        <v>15</v>
      </c>
      <c r="B15" s="1" t="s">
        <v>22</v>
      </c>
    </row>
    <row r="16" spans="1:2" s="1" customFormat="1" ht="27.6" x14ac:dyDescent="0.25">
      <c r="A16" s="13">
        <v>16</v>
      </c>
      <c r="B16" s="1" t="s">
        <v>12</v>
      </c>
    </row>
    <row r="17" spans="1:2" s="1" customFormat="1" ht="27.6" x14ac:dyDescent="0.25">
      <c r="A17" s="13">
        <v>17</v>
      </c>
      <c r="B17" s="1" t="s">
        <v>13</v>
      </c>
    </row>
    <row r="18" spans="1:2" s="1" customFormat="1" ht="27.6" x14ac:dyDescent="0.25">
      <c r="A18" s="13">
        <v>18</v>
      </c>
      <c r="B18" s="1" t="s">
        <v>14</v>
      </c>
    </row>
    <row r="19" spans="1:2" s="1" customFormat="1" ht="27.6" x14ac:dyDescent="0.25">
      <c r="A19" s="13">
        <v>19</v>
      </c>
      <c r="B19" s="1" t="s">
        <v>15</v>
      </c>
    </row>
    <row r="20" spans="1:2" s="1" customFormat="1" ht="27.6" x14ac:dyDescent="0.25">
      <c r="A20" s="13">
        <v>20</v>
      </c>
      <c r="B20" s="1" t="s">
        <v>16</v>
      </c>
    </row>
    <row r="21" spans="1:2" s="1" customFormat="1" ht="27.6" x14ac:dyDescent="0.25">
      <c r="A21" s="13">
        <v>21</v>
      </c>
      <c r="B21" s="1" t="s">
        <v>17</v>
      </c>
    </row>
    <row r="22" spans="1:2" s="1" customFormat="1" ht="27.6" x14ac:dyDescent="0.25">
      <c r="A22" s="13">
        <v>22</v>
      </c>
      <c r="B22" s="1" t="s">
        <v>18</v>
      </c>
    </row>
    <row r="23" spans="1:2" s="1" customFormat="1" ht="27.6" x14ac:dyDescent="0.25">
      <c r="A23" s="13">
        <v>23</v>
      </c>
      <c r="B23" s="1" t="s">
        <v>19</v>
      </c>
    </row>
    <row r="24" spans="1:2" s="1" customFormat="1" ht="27.6" x14ac:dyDescent="0.25">
      <c r="A24" s="13">
        <v>24</v>
      </c>
      <c r="B24" s="1" t="s">
        <v>20</v>
      </c>
    </row>
    <row r="25" spans="1:2" s="1" customFormat="1" ht="27.6" x14ac:dyDescent="0.25">
      <c r="A25" s="13">
        <v>25</v>
      </c>
      <c r="B25" s="1" t="s">
        <v>21</v>
      </c>
    </row>
    <row r="26" spans="1:2" s="1" customFormat="1" ht="27.6" x14ac:dyDescent="0.25">
      <c r="A26" s="13">
        <v>26</v>
      </c>
      <c r="B26" s="1" t="s">
        <v>168</v>
      </c>
    </row>
    <row r="27" spans="1:2" s="1" customFormat="1" ht="27.6" x14ac:dyDescent="0.25">
      <c r="A27" s="13">
        <v>27</v>
      </c>
      <c r="B27" s="1" t="s">
        <v>23</v>
      </c>
    </row>
    <row r="28" spans="1:2" s="1" customFormat="1" ht="41.4" x14ac:dyDescent="0.25">
      <c r="A28" s="13">
        <v>28</v>
      </c>
      <c r="B28" s="1" t="s">
        <v>24</v>
      </c>
    </row>
    <row r="29" spans="1:2" s="1" customFormat="1" x14ac:dyDescent="0.25">
      <c r="A29" s="13">
        <v>29</v>
      </c>
      <c r="B29" s="1" t="s">
        <v>25</v>
      </c>
    </row>
    <row r="30" spans="1:2" s="1" customFormat="1" x14ac:dyDescent="0.25">
      <c r="A30" s="13">
        <v>30</v>
      </c>
      <c r="B30" s="1" t="s">
        <v>0</v>
      </c>
    </row>
    <row r="31" spans="1:2" s="1" customFormat="1" x14ac:dyDescent="0.25">
      <c r="A31" s="13">
        <v>31</v>
      </c>
      <c r="B31" s="1" t="s">
        <v>26</v>
      </c>
    </row>
    <row r="32" spans="1:2" s="1" customFormat="1" x14ac:dyDescent="0.25">
      <c r="A32" s="13">
        <v>32</v>
      </c>
      <c r="B32" s="1" t="s">
        <v>27</v>
      </c>
    </row>
    <row r="33" spans="1:3" s="1" customFormat="1" ht="27.6" x14ac:dyDescent="0.25">
      <c r="A33" s="13">
        <v>33</v>
      </c>
      <c r="B33" s="1" t="s">
        <v>28</v>
      </c>
    </row>
    <row r="34" spans="1:3" s="1" customFormat="1" ht="27.6" x14ac:dyDescent="0.25">
      <c r="A34" s="13">
        <v>34</v>
      </c>
      <c r="B34" s="1" t="s">
        <v>29</v>
      </c>
    </row>
    <row r="35" spans="1:3" s="1" customFormat="1" ht="27.6" x14ac:dyDescent="0.25">
      <c r="A35" s="13">
        <v>35</v>
      </c>
      <c r="B35" s="1" t="s">
        <v>30</v>
      </c>
    </row>
    <row r="36" spans="1:3" s="1" customFormat="1" x14ac:dyDescent="0.25">
      <c r="A36" s="13">
        <v>36</v>
      </c>
      <c r="B36" s="1" t="s">
        <v>31</v>
      </c>
    </row>
    <row r="37" spans="1:3" s="1" customFormat="1" x14ac:dyDescent="0.25">
      <c r="A37" s="13">
        <v>37</v>
      </c>
      <c r="B37" s="1" t="s">
        <v>32</v>
      </c>
    </row>
    <row r="38" spans="1:3" s="1" customFormat="1" x14ac:dyDescent="0.25">
      <c r="A38" s="13">
        <v>38</v>
      </c>
      <c r="B38" s="1" t="s">
        <v>33</v>
      </c>
    </row>
    <row r="39" spans="1:3" s="1" customFormat="1" x14ac:dyDescent="0.25">
      <c r="A39" s="13">
        <v>39</v>
      </c>
      <c r="B39" s="1" t="s">
        <v>34</v>
      </c>
    </row>
    <row r="40" spans="1:3" s="1" customFormat="1" x14ac:dyDescent="0.25">
      <c r="A40" s="13">
        <v>40</v>
      </c>
      <c r="B40" s="1" t="s">
        <v>35</v>
      </c>
      <c r="C40" s="1" t="s">
        <v>60</v>
      </c>
    </row>
    <row r="41" spans="1:3" s="1" customFormat="1" x14ac:dyDescent="0.25">
      <c r="A41" s="13">
        <v>41</v>
      </c>
      <c r="B41" s="1" t="s">
        <v>3</v>
      </c>
    </row>
    <row r="42" spans="1:3" s="1" customFormat="1" x14ac:dyDescent="0.25">
      <c r="A42" s="13">
        <v>42</v>
      </c>
      <c r="B42" s="1" t="s">
        <v>36</v>
      </c>
    </row>
    <row r="43" spans="1:3" s="1" customFormat="1" ht="55.2" x14ac:dyDescent="0.25">
      <c r="A43" s="13">
        <v>43</v>
      </c>
      <c r="B43" s="1" t="s">
        <v>37</v>
      </c>
    </row>
    <row r="44" spans="1:3" s="1" customFormat="1" x14ac:dyDescent="0.25">
      <c r="A44" s="13">
        <v>44</v>
      </c>
      <c r="B44" s="14" t="s">
        <v>38</v>
      </c>
    </row>
    <row r="45" spans="1:3" s="1" customFormat="1" ht="55.2" x14ac:dyDescent="0.25">
      <c r="A45" s="13">
        <v>45</v>
      </c>
      <c r="B45" s="1" t="s">
        <v>39</v>
      </c>
    </row>
    <row r="46" spans="1:3" s="1" customFormat="1" ht="55.2" x14ac:dyDescent="0.25">
      <c r="A46" s="13">
        <v>46</v>
      </c>
      <c r="B46" s="1" t="s">
        <v>40</v>
      </c>
    </row>
    <row r="47" spans="1:3" s="1" customFormat="1" ht="55.2" x14ac:dyDescent="0.25">
      <c r="A47" s="13">
        <v>47</v>
      </c>
      <c r="B47" s="1" t="s">
        <v>41</v>
      </c>
    </row>
    <row r="48" spans="1:3" s="1" customFormat="1" ht="69" x14ac:dyDescent="0.25">
      <c r="A48" s="13">
        <v>48</v>
      </c>
      <c r="B48" s="1" t="s">
        <v>42</v>
      </c>
    </row>
    <row r="49" spans="1:3" s="1" customFormat="1" ht="27.6" x14ac:dyDescent="0.25">
      <c r="A49" s="13">
        <v>49</v>
      </c>
      <c r="B49" s="1" t="s">
        <v>43</v>
      </c>
    </row>
    <row r="50" spans="1:3" s="1" customFormat="1" x14ac:dyDescent="0.25">
      <c r="A50" s="13">
        <v>50</v>
      </c>
      <c r="B50" s="18" t="s">
        <v>44</v>
      </c>
      <c r="C50" s="20" t="s">
        <v>169</v>
      </c>
    </row>
    <row r="51" spans="1:3" s="1" customFormat="1" ht="27.6" x14ac:dyDescent="0.25">
      <c r="A51" s="13">
        <v>51</v>
      </c>
      <c r="B51" s="19" t="s">
        <v>45</v>
      </c>
    </row>
    <row r="52" spans="1:3" s="1" customFormat="1" ht="41.4" x14ac:dyDescent="0.25">
      <c r="A52" s="13">
        <v>52</v>
      </c>
      <c r="B52" s="1" t="s">
        <v>46</v>
      </c>
    </row>
    <row r="53" spans="1:3" s="1" customFormat="1" ht="41.4" x14ac:dyDescent="0.25">
      <c r="A53" s="13">
        <v>53</v>
      </c>
      <c r="B53" s="1" t="s">
        <v>47</v>
      </c>
    </row>
    <row r="54" spans="1:3" s="1" customFormat="1" ht="55.2" x14ac:dyDescent="0.25">
      <c r="A54" s="13">
        <v>54</v>
      </c>
      <c r="B54" s="1" t="s">
        <v>48</v>
      </c>
    </row>
    <row r="55" spans="1:3" s="1" customFormat="1" x14ac:dyDescent="0.25">
      <c r="A55" s="13">
        <v>55</v>
      </c>
      <c r="B55" s="18" t="s">
        <v>49</v>
      </c>
    </row>
    <row r="56" spans="1:3" s="1" customFormat="1" ht="55.2" x14ac:dyDescent="0.25">
      <c r="A56" s="13">
        <v>56</v>
      </c>
      <c r="B56" s="1" t="s">
        <v>50</v>
      </c>
    </row>
    <row r="57" spans="1:3" s="1" customFormat="1" ht="69" x14ac:dyDescent="0.25">
      <c r="A57" s="13">
        <v>57</v>
      </c>
      <c r="B57" s="1" t="s">
        <v>51</v>
      </c>
    </row>
    <row r="58" spans="1:3" s="1" customFormat="1" ht="55.2" x14ac:dyDescent="0.25">
      <c r="A58" s="13">
        <v>58</v>
      </c>
      <c r="B58" s="1" t="s">
        <v>52</v>
      </c>
    </row>
    <row r="59" spans="1:3" s="1" customFormat="1" x14ac:dyDescent="0.25">
      <c r="A59" s="13">
        <v>59</v>
      </c>
      <c r="B59" s="1" t="s">
        <v>55</v>
      </c>
    </row>
    <row r="60" spans="1:3" s="1" customFormat="1" x14ac:dyDescent="0.25">
      <c r="A60" s="13">
        <v>60</v>
      </c>
      <c r="B60" s="1" t="s">
        <v>61</v>
      </c>
    </row>
    <row r="61" spans="1:3" s="1" customFormat="1" ht="27.6" x14ac:dyDescent="0.25">
      <c r="A61" s="13">
        <v>61</v>
      </c>
      <c r="B61" s="1" t="s">
        <v>62</v>
      </c>
    </row>
    <row r="62" spans="1:3" s="1" customFormat="1" x14ac:dyDescent="0.25">
      <c r="A62" s="13">
        <v>62</v>
      </c>
      <c r="B62" s="1" t="s">
        <v>69</v>
      </c>
    </row>
    <row r="63" spans="1:3" s="1" customFormat="1" x14ac:dyDescent="0.25">
      <c r="A63" s="13">
        <v>63</v>
      </c>
      <c r="B63" s="1" t="s">
        <v>155</v>
      </c>
    </row>
    <row r="64" spans="1:3" s="1" customFormat="1" x14ac:dyDescent="0.25">
      <c r="A64" s="13">
        <v>64</v>
      </c>
      <c r="B64" s="1" t="s">
        <v>158</v>
      </c>
    </row>
    <row r="65" spans="1:2" s="1" customFormat="1" x14ac:dyDescent="0.25">
      <c r="A65" s="13">
        <v>65</v>
      </c>
      <c r="B65" s="1" t="s">
        <v>159</v>
      </c>
    </row>
    <row r="66" spans="1:2" s="1" customFormat="1" x14ac:dyDescent="0.25">
      <c r="A66" s="13">
        <v>66</v>
      </c>
      <c r="B66" s="1" t="s">
        <v>160</v>
      </c>
    </row>
    <row r="67" spans="1:2" s="1" customFormat="1" x14ac:dyDescent="0.25">
      <c r="A67" s="13">
        <v>67</v>
      </c>
      <c r="B67" s="1" t="s">
        <v>161</v>
      </c>
    </row>
    <row r="68" spans="1:2" s="1" customFormat="1" x14ac:dyDescent="0.25">
      <c r="A68" s="13">
        <v>68</v>
      </c>
      <c r="B68" s="1" t="s">
        <v>162</v>
      </c>
    </row>
    <row r="69" spans="1:2" s="1" customFormat="1" x14ac:dyDescent="0.25">
      <c r="A69" s="13">
        <v>69</v>
      </c>
      <c r="B69" s="1" t="s">
        <v>163</v>
      </c>
    </row>
    <row r="70" spans="1:2" s="1" customFormat="1" x14ac:dyDescent="0.25">
      <c r="A70" s="13">
        <v>70</v>
      </c>
      <c r="B70" s="1" t="s">
        <v>164</v>
      </c>
    </row>
    <row r="71" spans="1:2" s="1" customFormat="1" x14ac:dyDescent="0.25">
      <c r="A71" s="13">
        <v>71</v>
      </c>
      <c r="B71" s="1" t="s">
        <v>165</v>
      </c>
    </row>
  </sheetData>
  <phoneticPr fontId="1" type="noConversion"/>
  <hyperlinks>
    <hyperlink ref="B44" r:id="rId1" xr:uid="{B74AEF81-772C-43A8-B573-657354A81F76}"/>
    <hyperlink ref="B49" r:id="rId2" xr:uid="{45E160F3-33AB-41E9-A340-07B3225E8134}"/>
    <hyperlink ref="B59" r:id="rId3" xr:uid="{A07500ED-11E5-4527-8587-921A2079FB8D}"/>
    <hyperlink ref="B50" r:id="rId4" xr:uid="{2FA84615-EA38-4D28-A1B3-C09E7AA4CE37}"/>
    <hyperlink ref="B51" r:id="rId5" xr:uid="{861A6854-D929-481E-98B4-2E14FE1B787F}"/>
    <hyperlink ref="B55" r:id="rId6" xr:uid="{020C5ACB-02DB-4553-BB28-C4B467AE1706}"/>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9"/>
  <sheetViews>
    <sheetView workbookViewId="0">
      <selection activeCell="B2" sqref="B2"/>
    </sheetView>
  </sheetViews>
  <sheetFormatPr defaultRowHeight="13.8" x14ac:dyDescent="0.25"/>
  <cols>
    <col min="2" max="2" width="46.33203125" customWidth="1"/>
    <col min="3" max="3" width="23.5546875" customWidth="1"/>
    <col min="4" max="4" width="33.109375" customWidth="1"/>
    <col min="5" max="5" width="17.44140625" customWidth="1"/>
    <col min="6" max="6" width="16.109375" customWidth="1"/>
    <col min="14" max="14" width="9.109375" bestFit="1" customWidth="1"/>
  </cols>
  <sheetData>
    <row r="2" spans="2:15" ht="15.6" x14ac:dyDescent="0.25">
      <c r="B2" s="2" t="s">
        <v>53</v>
      </c>
      <c r="D2" s="2" t="s">
        <v>54</v>
      </c>
      <c r="L2">
        <v>406</v>
      </c>
      <c r="M2">
        <v>131</v>
      </c>
    </row>
    <row r="3" spans="2:15" ht="15.6" x14ac:dyDescent="0.25">
      <c r="B3" s="2" t="s">
        <v>56</v>
      </c>
      <c r="D3" s="2" t="s">
        <v>71</v>
      </c>
      <c r="L3">
        <v>812</v>
      </c>
      <c r="M3">
        <v>262</v>
      </c>
      <c r="N3">
        <f>SUM(L3:M3)</f>
        <v>1074</v>
      </c>
      <c r="O3" t="s">
        <v>75</v>
      </c>
    </row>
    <row r="4" spans="2:15" ht="15.6" x14ac:dyDescent="0.25">
      <c r="B4" s="2" t="s">
        <v>58</v>
      </c>
      <c r="D4" t="s">
        <v>76</v>
      </c>
      <c r="G4" t="s">
        <v>72</v>
      </c>
      <c r="H4" t="s">
        <v>73</v>
      </c>
      <c r="I4" t="s">
        <v>121</v>
      </c>
      <c r="J4" t="s">
        <v>74</v>
      </c>
    </row>
    <row r="5" spans="2:15" ht="15.6" x14ac:dyDescent="0.25">
      <c r="B5" s="2" t="s">
        <v>57</v>
      </c>
      <c r="D5" s="2" t="s">
        <v>109</v>
      </c>
      <c r="G5">
        <v>787</v>
      </c>
      <c r="H5">
        <v>24</v>
      </c>
      <c r="I5">
        <v>1723</v>
      </c>
      <c r="J5">
        <v>149</v>
      </c>
    </row>
    <row r="6" spans="2:15" ht="15.6" x14ac:dyDescent="0.25">
      <c r="B6" s="2" t="s">
        <v>59</v>
      </c>
      <c r="D6" s="2" t="s">
        <v>110</v>
      </c>
      <c r="G6">
        <v>147</v>
      </c>
      <c r="H6">
        <v>21</v>
      </c>
      <c r="I6">
        <v>315</v>
      </c>
      <c r="J6">
        <v>54</v>
      </c>
    </row>
    <row r="7" spans="2:15" ht="15.6" x14ac:dyDescent="0.25">
      <c r="B7" s="2" t="s">
        <v>63</v>
      </c>
      <c r="D7" s="2" t="s">
        <v>111</v>
      </c>
    </row>
    <row r="8" spans="2:15" ht="15.6" x14ac:dyDescent="0.25">
      <c r="B8" s="2" t="s">
        <v>64</v>
      </c>
      <c r="D8" s="2" t="s">
        <v>120</v>
      </c>
    </row>
    <row r="9" spans="2:15" ht="15.6" x14ac:dyDescent="0.25">
      <c r="B9" s="2" t="s">
        <v>65</v>
      </c>
    </row>
    <row r="10" spans="2:15" ht="15.6" x14ac:dyDescent="0.25">
      <c r="B10" s="2" t="s">
        <v>66</v>
      </c>
    </row>
    <row r="11" spans="2:15" ht="15.6" x14ac:dyDescent="0.25">
      <c r="B11" s="2" t="s">
        <v>67</v>
      </c>
    </row>
    <row r="12" spans="2:15" ht="15.6" x14ac:dyDescent="0.25">
      <c r="B12" s="2" t="s">
        <v>68</v>
      </c>
    </row>
    <row r="13" spans="2:15" ht="15.6" x14ac:dyDescent="0.25">
      <c r="B13" s="2" t="s">
        <v>70</v>
      </c>
    </row>
    <row r="14" spans="2:15" ht="15.6" x14ac:dyDescent="0.25">
      <c r="B14" s="2" t="s">
        <v>77</v>
      </c>
    </row>
    <row r="15" spans="2:15" ht="15.6" x14ac:dyDescent="0.25">
      <c r="B15" s="2" t="s">
        <v>85</v>
      </c>
    </row>
    <row r="16" spans="2:15" ht="15.6" x14ac:dyDescent="0.25">
      <c r="B16" s="2" t="s">
        <v>87</v>
      </c>
    </row>
    <row r="17" spans="2:8" ht="15.6" x14ac:dyDescent="0.25">
      <c r="B17" s="2" t="s">
        <v>86</v>
      </c>
      <c r="D17" t="s">
        <v>78</v>
      </c>
      <c r="E17" t="s">
        <v>79</v>
      </c>
      <c r="F17" t="s">
        <v>80</v>
      </c>
      <c r="G17">
        <v>33</v>
      </c>
    </row>
    <row r="18" spans="2:8" ht="15.6" x14ac:dyDescent="0.25">
      <c r="B18" s="2" t="s">
        <v>89</v>
      </c>
      <c r="C18" t="s">
        <v>82</v>
      </c>
      <c r="D18" t="s">
        <v>81</v>
      </c>
      <c r="E18" t="s">
        <v>83</v>
      </c>
      <c r="F18" t="s">
        <v>84</v>
      </c>
      <c r="G18">
        <v>31</v>
      </c>
    </row>
    <row r="19" spans="2:8" ht="15.6" x14ac:dyDescent="0.25">
      <c r="B19" s="2" t="s">
        <v>88</v>
      </c>
      <c r="H19">
        <v>64</v>
      </c>
    </row>
    <row r="20" spans="2:8" ht="15.6" x14ac:dyDescent="0.25">
      <c r="B20" s="2" t="s">
        <v>90</v>
      </c>
    </row>
    <row r="21" spans="2:8" ht="15.6" x14ac:dyDescent="0.25">
      <c r="B21" s="2" t="s">
        <v>113</v>
      </c>
    </row>
    <row r="22" spans="2:8" ht="15.6" x14ac:dyDescent="0.25">
      <c r="B22" s="2" t="s">
        <v>114</v>
      </c>
    </row>
    <row r="23" spans="2:8" ht="15.6" x14ac:dyDescent="0.25">
      <c r="B23" s="2" t="s">
        <v>115</v>
      </c>
    </row>
    <row r="24" spans="2:8" ht="15.6" x14ac:dyDescent="0.25">
      <c r="B24" s="2" t="s">
        <v>116</v>
      </c>
    </row>
    <row r="25" spans="2:8" ht="15.6" x14ac:dyDescent="0.25">
      <c r="B25" s="2" t="s">
        <v>117</v>
      </c>
    </row>
    <row r="26" spans="2:8" ht="15.6" x14ac:dyDescent="0.25">
      <c r="B26" s="2" t="s">
        <v>118</v>
      </c>
    </row>
    <row r="27" spans="2:8" ht="15.6" x14ac:dyDescent="0.25">
      <c r="B27" s="2" t="s">
        <v>119</v>
      </c>
      <c r="D27">
        <v>6209</v>
      </c>
    </row>
    <row r="28" spans="2:8" ht="15.6" x14ac:dyDescent="0.25">
      <c r="B28" s="2" t="s">
        <v>122</v>
      </c>
      <c r="D28">
        <v>16855</v>
      </c>
    </row>
    <row r="29" spans="2:8" x14ac:dyDescent="0.25">
      <c r="D29">
        <v>23064</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C6A3-0961-4885-ABBE-5341039D1517}">
  <dimension ref="A1:J37"/>
  <sheetViews>
    <sheetView zoomScale="70" zoomScaleNormal="70" workbookViewId="0">
      <selection activeCell="B17" sqref="B17"/>
    </sheetView>
  </sheetViews>
  <sheetFormatPr defaultRowHeight="15.6" x14ac:dyDescent="0.3"/>
  <cols>
    <col min="1" max="1" width="22" style="4" customWidth="1"/>
    <col min="2" max="2" width="19.21875" style="4" customWidth="1"/>
    <col min="3" max="3" width="18.6640625" style="4" customWidth="1"/>
    <col min="4" max="4" width="20.33203125" style="4" customWidth="1"/>
    <col min="5" max="5" width="19.109375" style="4" customWidth="1"/>
    <col min="6" max="8" width="8.88671875" style="4"/>
    <col min="9" max="9" width="38" style="7" customWidth="1"/>
    <col min="10" max="10" width="85.5546875" style="7" customWidth="1"/>
    <col min="11" max="16384" width="8.88671875" style="4"/>
  </cols>
  <sheetData>
    <row r="1" spans="1:5" ht="16.2" thickBot="1" x14ac:dyDescent="0.35">
      <c r="A1" s="3" t="s">
        <v>91</v>
      </c>
      <c r="B1" s="15" t="s">
        <v>92</v>
      </c>
      <c r="C1" s="16"/>
      <c r="D1" s="16"/>
      <c r="E1" s="17"/>
    </row>
    <row r="2" spans="1:5" ht="47.4" thickBot="1" x14ac:dyDescent="0.35">
      <c r="A2" s="3"/>
      <c r="B2" s="6" t="s">
        <v>99</v>
      </c>
      <c r="C2" s="6" t="s">
        <v>100</v>
      </c>
      <c r="D2" s="6" t="s">
        <v>108</v>
      </c>
      <c r="E2" s="6" t="s">
        <v>101</v>
      </c>
    </row>
    <row r="3" spans="1:5" ht="16.2" thickBot="1" x14ac:dyDescent="0.35">
      <c r="A3" s="3" t="s">
        <v>156</v>
      </c>
      <c r="B3" s="5">
        <v>2000</v>
      </c>
      <c r="C3" s="5">
        <v>2</v>
      </c>
      <c r="D3" s="5">
        <v>15.69</v>
      </c>
      <c r="E3" s="5">
        <v>16.2</v>
      </c>
    </row>
    <row r="4" spans="1:5" ht="16.2" thickBot="1" x14ac:dyDescent="0.35">
      <c r="A4" s="3" t="s">
        <v>93</v>
      </c>
      <c r="B4" s="5">
        <v>405</v>
      </c>
      <c r="C4" s="5">
        <v>2</v>
      </c>
      <c r="D4" s="5">
        <v>35.75</v>
      </c>
      <c r="E4" s="5">
        <v>38.36</v>
      </c>
    </row>
    <row r="5" spans="1:5" ht="16.2" thickBot="1" x14ac:dyDescent="0.35">
      <c r="A5" s="3" t="s">
        <v>94</v>
      </c>
      <c r="B5" s="5">
        <v>306</v>
      </c>
      <c r="C5" s="5">
        <v>2</v>
      </c>
      <c r="D5" s="5">
        <v>21.3</v>
      </c>
      <c r="E5" s="5">
        <v>225.06</v>
      </c>
    </row>
    <row r="6" spans="1:5" ht="16.2" thickBot="1" x14ac:dyDescent="0.35">
      <c r="A6" s="3" t="s">
        <v>95</v>
      </c>
      <c r="B6" s="5">
        <v>467</v>
      </c>
      <c r="C6" s="5">
        <v>2</v>
      </c>
      <c r="D6" s="5">
        <v>41.22</v>
      </c>
      <c r="E6" s="5">
        <v>43.45</v>
      </c>
    </row>
    <row r="7" spans="1:5" ht="16.2" thickBot="1" x14ac:dyDescent="0.35">
      <c r="A7" s="3" t="s">
        <v>96</v>
      </c>
      <c r="B7" s="5">
        <v>467</v>
      </c>
      <c r="C7" s="5">
        <v>2</v>
      </c>
      <c r="D7" s="5">
        <v>42.43</v>
      </c>
      <c r="E7" s="5">
        <v>44.54</v>
      </c>
    </row>
    <row r="8" spans="1:5" ht="16.2" thickBot="1" x14ac:dyDescent="0.35">
      <c r="A8" s="3" t="s">
        <v>102</v>
      </c>
      <c r="B8" s="5">
        <v>83</v>
      </c>
      <c r="C8" s="5">
        <v>2</v>
      </c>
      <c r="D8" s="5">
        <v>26.96</v>
      </c>
      <c r="E8" s="5">
        <v>48.42</v>
      </c>
    </row>
    <row r="9" spans="1:5" ht="16.2" thickBot="1" x14ac:dyDescent="0.35">
      <c r="A9" s="3" t="s">
        <v>105</v>
      </c>
      <c r="B9" s="5">
        <v>188</v>
      </c>
      <c r="C9" s="5">
        <v>2</v>
      </c>
      <c r="D9" s="5">
        <v>17.93</v>
      </c>
      <c r="E9" s="5">
        <v>19.79</v>
      </c>
    </row>
    <row r="10" spans="1:5" ht="16.2" thickBot="1" x14ac:dyDescent="0.35">
      <c r="A10" s="3" t="s">
        <v>104</v>
      </c>
      <c r="B10" s="5">
        <v>344</v>
      </c>
      <c r="C10" s="5">
        <v>2</v>
      </c>
      <c r="D10" s="5">
        <v>14.29</v>
      </c>
      <c r="E10" s="5">
        <v>14.69</v>
      </c>
    </row>
    <row r="11" spans="1:5" ht="16.2" thickBot="1" x14ac:dyDescent="0.35">
      <c r="A11" s="3" t="s">
        <v>106</v>
      </c>
      <c r="B11" s="5">
        <v>4110</v>
      </c>
      <c r="C11" s="5">
        <v>2</v>
      </c>
      <c r="D11" s="5">
        <v>29.87</v>
      </c>
      <c r="E11" s="5">
        <v>32.299999999999997</v>
      </c>
    </row>
    <row r="12" spans="1:5" ht="16.2" thickBot="1" x14ac:dyDescent="0.35">
      <c r="A12" s="3" t="s">
        <v>103</v>
      </c>
      <c r="B12" s="5">
        <v>1113</v>
      </c>
      <c r="C12" s="5">
        <v>2</v>
      </c>
      <c r="D12" s="5">
        <v>39.06</v>
      </c>
      <c r="E12" s="5">
        <v>72.819999999999993</v>
      </c>
    </row>
    <row r="13" spans="1:5" ht="16.2" thickBot="1" x14ac:dyDescent="0.35">
      <c r="A13" s="3" t="s">
        <v>97</v>
      </c>
      <c r="B13" s="5">
        <v>1178</v>
      </c>
      <c r="C13" s="5">
        <v>2</v>
      </c>
      <c r="D13" s="5">
        <v>284.32</v>
      </c>
      <c r="E13" s="5">
        <v>715.66</v>
      </c>
    </row>
    <row r="14" spans="1:5" ht="16.2" thickBot="1" x14ac:dyDescent="0.35">
      <c r="A14" s="3" t="s">
        <v>98</v>
      </c>
      <c r="B14" s="5">
        <v>1000</v>
      </c>
      <c r="C14" s="5">
        <v>2</v>
      </c>
      <c r="D14" s="5">
        <v>19.77</v>
      </c>
      <c r="E14" s="5">
        <v>96.53</v>
      </c>
    </row>
    <row r="15" spans="1:5" ht="16.2" thickBot="1" x14ac:dyDescent="0.35">
      <c r="A15" s="3" t="s">
        <v>107</v>
      </c>
      <c r="B15" s="5">
        <v>1500</v>
      </c>
      <c r="C15" s="5">
        <v>3</v>
      </c>
      <c r="D15" s="5">
        <v>13</v>
      </c>
      <c r="E15" s="5">
        <v>65.94</v>
      </c>
    </row>
    <row r="16" spans="1:5" ht="16.2" thickBot="1" x14ac:dyDescent="0.35">
      <c r="A16" s="3" t="s">
        <v>157</v>
      </c>
      <c r="B16" s="5">
        <v>5000</v>
      </c>
      <c r="C16" s="5">
        <v>3</v>
      </c>
      <c r="D16" s="5">
        <v>74.489999999999995</v>
      </c>
      <c r="E16" s="5">
        <v>2457.7800000000002</v>
      </c>
    </row>
    <row r="17" spans="2:10" x14ac:dyDescent="0.3">
      <c r="B17" s="4">
        <f>AVERAGE(B3:B16)</f>
        <v>1297.2142857142858</v>
      </c>
      <c r="C17" s="4">
        <f>AVERAGE(D3:D16)</f>
        <v>48.291428571428568</v>
      </c>
      <c r="D17" s="4">
        <f>AVERAGE(D3:D16)</f>
        <v>48.291428571428568</v>
      </c>
      <c r="E17" s="4">
        <f>AVERAGE(E3:E16)</f>
        <v>277.96714285714285</v>
      </c>
    </row>
    <row r="22" spans="2:10" ht="16.2" thickBot="1" x14ac:dyDescent="0.35"/>
    <row r="23" spans="2:10" s="8" customFormat="1" ht="34.200000000000003" customHeight="1" thickBot="1" x14ac:dyDescent="0.3">
      <c r="I23" s="11" t="s">
        <v>152</v>
      </c>
      <c r="J23" s="11" t="s">
        <v>123</v>
      </c>
    </row>
    <row r="24" spans="2:10" s="8" customFormat="1" ht="34.200000000000003" customHeight="1" thickBot="1" x14ac:dyDescent="0.3">
      <c r="I24" s="11" t="s">
        <v>151</v>
      </c>
      <c r="J24" s="11" t="s">
        <v>124</v>
      </c>
    </row>
    <row r="25" spans="2:10" s="8" customFormat="1" ht="34.200000000000003" customHeight="1" thickBot="1" x14ac:dyDescent="0.3">
      <c r="I25" s="11" t="s">
        <v>150</v>
      </c>
      <c r="J25" s="11" t="s">
        <v>125</v>
      </c>
    </row>
    <row r="26" spans="2:10" s="8" customFormat="1" ht="34.200000000000003" customHeight="1" thickBot="1" x14ac:dyDescent="0.3">
      <c r="I26" s="11" t="s">
        <v>149</v>
      </c>
      <c r="J26" s="11" t="s">
        <v>126</v>
      </c>
    </row>
    <row r="27" spans="2:10" s="8" customFormat="1" ht="34.200000000000003" customHeight="1" thickBot="1" x14ac:dyDescent="0.3">
      <c r="I27" s="11" t="s">
        <v>148</v>
      </c>
      <c r="J27" s="11" t="s">
        <v>127</v>
      </c>
    </row>
    <row r="28" spans="2:10" s="8" customFormat="1" ht="34.200000000000003" customHeight="1" thickBot="1" x14ac:dyDescent="0.3">
      <c r="I28" s="11" t="s">
        <v>147</v>
      </c>
      <c r="J28" s="11" t="s">
        <v>128</v>
      </c>
    </row>
    <row r="29" spans="2:10" s="8" customFormat="1" ht="34.200000000000003" customHeight="1" thickBot="1" x14ac:dyDescent="0.3">
      <c r="I29" s="11" t="s">
        <v>146</v>
      </c>
      <c r="J29" s="11" t="s">
        <v>129</v>
      </c>
    </row>
    <row r="30" spans="2:10" s="8" customFormat="1" ht="34.200000000000003" customHeight="1" thickBot="1" x14ac:dyDescent="0.3">
      <c r="I30" s="11" t="s">
        <v>145</v>
      </c>
      <c r="J30" s="11" t="s">
        <v>130</v>
      </c>
    </row>
    <row r="31" spans="2:10" s="8" customFormat="1" ht="34.200000000000003" customHeight="1" thickBot="1" x14ac:dyDescent="0.3">
      <c r="I31" s="11" t="s">
        <v>144</v>
      </c>
      <c r="J31" s="11" t="s">
        <v>131</v>
      </c>
    </row>
    <row r="32" spans="2:10" s="8" customFormat="1" ht="34.200000000000003" customHeight="1" thickBot="1" x14ac:dyDescent="0.3">
      <c r="I32" s="11" t="s">
        <v>143</v>
      </c>
      <c r="J32" s="11" t="s">
        <v>132</v>
      </c>
    </row>
    <row r="33" spans="9:10" s="8" customFormat="1" ht="34.200000000000003" customHeight="1" thickBot="1" x14ac:dyDescent="0.3">
      <c r="I33" s="11" t="s">
        <v>142</v>
      </c>
      <c r="J33" s="11" t="s">
        <v>133</v>
      </c>
    </row>
    <row r="34" spans="9:10" s="8" customFormat="1" ht="34.200000000000003" customHeight="1" thickBot="1" x14ac:dyDescent="0.3">
      <c r="I34" s="11" t="s">
        <v>141</v>
      </c>
      <c r="J34" s="11" t="s">
        <v>134</v>
      </c>
    </row>
    <row r="35" spans="9:10" s="8" customFormat="1" ht="34.200000000000003" customHeight="1" thickBot="1" x14ac:dyDescent="0.3">
      <c r="I35" s="11" t="s">
        <v>140</v>
      </c>
      <c r="J35" s="11" t="s">
        <v>135</v>
      </c>
    </row>
    <row r="36" spans="9:10" s="8" customFormat="1" ht="34.200000000000003" customHeight="1" thickBot="1" x14ac:dyDescent="0.3">
      <c r="I36" s="11" t="s">
        <v>139</v>
      </c>
      <c r="J36" s="11" t="s">
        <v>136</v>
      </c>
    </row>
    <row r="37" spans="9:10" s="8" customFormat="1" ht="34.200000000000003" customHeight="1" thickBot="1" x14ac:dyDescent="0.3">
      <c r="I37" s="11" t="s">
        <v>138</v>
      </c>
      <c r="J37" s="11" t="s">
        <v>137</v>
      </c>
    </row>
  </sheetData>
  <mergeCells count="1">
    <mergeCell ref="B1:E1"/>
  </mergeCells>
  <phoneticPr fontId="1" type="noConversion"/>
  <pageMargins left="0.7" right="0.7" top="0.75" bottom="0.75" header="0.3" footer="0.3"/>
  <pageSetup paperSize="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771F0-7342-4880-AEC0-EBD5FFC06D58}">
  <dimension ref="L5:N17"/>
  <sheetViews>
    <sheetView topLeftCell="A4" workbookViewId="0">
      <selection activeCell="P15" sqref="P15"/>
    </sheetView>
  </sheetViews>
  <sheetFormatPr defaultRowHeight="13.8" x14ac:dyDescent="0.25"/>
  <sheetData>
    <row r="5" spans="12:14" x14ac:dyDescent="0.25">
      <c r="L5" s="9" t="s">
        <v>112</v>
      </c>
    </row>
    <row r="6" spans="12:14" x14ac:dyDescent="0.25">
      <c r="L6" s="9" t="s">
        <v>153</v>
      </c>
      <c r="M6" s="10" t="s">
        <v>154</v>
      </c>
      <c r="N6" s="9"/>
    </row>
    <row r="7" spans="12:14" x14ac:dyDescent="0.25">
      <c r="L7" s="9" t="s">
        <v>153</v>
      </c>
      <c r="M7" s="10" t="s">
        <v>154</v>
      </c>
      <c r="N7" s="9"/>
    </row>
    <row r="8" spans="12:14" x14ac:dyDescent="0.25">
      <c r="L8" s="9" t="s">
        <v>153</v>
      </c>
      <c r="N8" s="9"/>
    </row>
    <row r="9" spans="12:14" x14ac:dyDescent="0.25">
      <c r="L9" s="9" t="s">
        <v>153</v>
      </c>
      <c r="N9" s="9"/>
    </row>
    <row r="10" spans="12:14" x14ac:dyDescent="0.25">
      <c r="L10" s="9" t="s">
        <v>153</v>
      </c>
    </row>
    <row r="11" spans="12:14" x14ac:dyDescent="0.25">
      <c r="L11" s="9" t="s">
        <v>153</v>
      </c>
    </row>
    <row r="12" spans="12:14" x14ac:dyDescent="0.25">
      <c r="L12" s="9" t="s">
        <v>153</v>
      </c>
    </row>
    <row r="13" spans="12:14" x14ac:dyDescent="0.25">
      <c r="L13" s="9" t="s">
        <v>153</v>
      </c>
    </row>
    <row r="14" spans="12:14" x14ac:dyDescent="0.25">
      <c r="L14" s="9" t="s">
        <v>153</v>
      </c>
    </row>
    <row r="15" spans="12:14" x14ac:dyDescent="0.25">
      <c r="L15" s="9" t="s">
        <v>153</v>
      </c>
    </row>
    <row r="16" spans="12:14" x14ac:dyDescent="0.25">
      <c r="L16" s="9" t="s">
        <v>153</v>
      </c>
    </row>
    <row r="17" spans="12:12" x14ac:dyDescent="0.25">
      <c r="L17" s="9" t="s">
        <v>153</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2020-04-04T16:06:04Z</dcterms:modified>
</cp:coreProperties>
</file>